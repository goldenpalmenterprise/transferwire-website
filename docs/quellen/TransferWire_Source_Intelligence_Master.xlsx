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1cee4930c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Laenderquellen" sheetId="1" r:id="R18750750f7a345fa"/>
    <x:sheet xmlns:r="http://schemas.openxmlformats.org/officeDocument/2006/relationships" name="02_DE_3_4_Liga" sheetId="2" r:id="R4e2005671f39474f"/>
    <x:sheet xmlns:r="http://schemas.openxmlformats.org/officeDocument/2006/relationships" name="03_APIs_Daten" sheetId="3" r:id="R43db333504c2452b"/>
    <x:sheet xmlns:r="http://schemas.openxmlformats.org/officeDocument/2006/relationships" name="04_Monitoring" sheetId="4" r:id="R07b865fb1c314cf6"/>
    <x:sheet xmlns:r="http://schemas.openxmlformats.org/officeDocument/2006/relationships" name="05_Insider_Netzwerk" sheetId="5" r:id="R63413ff0f5a74da2"/>
    <x:sheet xmlns:r="http://schemas.openxmlformats.org/officeDocument/2006/relationships" name="06_Register_Offiziell" sheetId="6" r:id="R78284629e9654c88"/>
    <x:sheet xmlns:r="http://schemas.openxmlformats.org/officeDocument/2006/relationships" name="07_Tagesworkflow" sheetId="7" r:id="R9572fff713e648f0"/>
    <x:sheet xmlns:r="http://schemas.openxmlformats.org/officeDocument/2006/relationships" name="08_Club_Template" sheetId="8" r:id="R1062467b51d74e6e"/>
    <x:sheet xmlns:r="http://schemas.openxmlformats.org/officeDocument/2006/relationships" name="09_Suchbegriffe" sheetId="9" r:id="Rc70b1780e5114901"/>
    <x:sheet xmlns:r="http://schemas.openxmlformats.org/officeDocument/2006/relationships" name="00_Strategie" sheetId="10" r:id="Ra1f89725a8f74307"/>
    <x:sheet xmlns:r="http://schemas.openxmlformats.org/officeDocument/2006/relationships" name="10_Source_Scoring" sheetId="11" r:id="R71b5eb07c472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17201B"/>
      <x:name val="Carlito"/>
    </x:font>
    <x:font>
      <x:b/>
      <x:sz val="10"/>
      <x:color rgb="FFFFFFFF"/>
      <x:name val="Carlito"/>
    </x:font>
    <x:font>
      <x:sz val="9"/>
      <x:color rgb="FF17201B"/>
      <x:name val="Carlito"/>
    </x:font>
    <x:font>
      <x:b/>
      <x:sz val="20"/>
      <x:color rgb="FFFFFFFF"/>
      <x:name val="Carlito"/>
    </x:font>
    <x:font>
      <x:b/>
      <x:sz val="9"/>
      <x:color rgb="FFFFFFFF"/>
      <x:name val="Carlito"/>
    </x:font>
    <x:font>
      <x:b/>
      <x:sz val="20"/>
      <x:color rgb="FF13B86B"/>
      <x:name val="Carlito"/>
    </x:font>
    <x:font>
      <x:b/>
      <x:sz val="11"/>
      <x:color rgb="FFFFFFFF"/>
      <x:name val="Carlito"/>
    </x:font>
    <x:font>
      <x:b/>
      <x:sz val="10"/>
      <x:color rgb="FF13B86B"/>
      <x:name val="Carlito"/>
    </x:font>
    <x:font>
      <x:b/>
      <x:sz val="10"/>
      <x:color rgb="FF17201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11418"/>
      </x:patternFill>
    </x:fill>
    <x:fill>
      <x:patternFill patternType="solid">
        <x:fgColor rgb="FFEAF4EE"/>
      </x:patternFill>
    </x:fill>
    <x:fill>
      <x:patternFill patternType="solid">
        <x:fgColor rgb="FF1E2A23"/>
      </x:patternFill>
    </x:fill>
    <x:fill>
      <x:patternFill patternType="solid">
        <x:fgColor rgb="FFFAFBFA"/>
      </x:patternFill>
    </x:fill>
    <x:fill>
      <x:patternFill patternType="solid">
        <x:fgColor rgb="FFFFFFFF"/>
      </x:patternFill>
    </x:fill>
    <x:fill>
      <x:patternFill patternType="solid">
        <x:fgColor rgb="FF0B8793"/>
      </x:patternFill>
    </x:fill>
    <x:fill>
      <x:patternFill patternType="solid">
        <x:fgColor rgb="FFE8F7EF"/>
      </x:patternFill>
    </x:fill>
    <x:fill>
      <x:patternFill patternType="solid">
        <x:fgColor rgb="FF7557E8"/>
      </x:patternFill>
    </x:fill>
    <x:fill>
      <x:patternFill patternType="solid">
        <x:fgColor rgb="FFD97706"/>
      </x:patternFill>
    </x:fill>
  </x:fills>
  <x:borders count="10">
    <x:border/>
    <x:border/>
    <x:border>
      <x:bottom/>
    </x:border>
    <x:border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8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5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5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8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9" fillId="8" borderId="8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horizontal="center" wrapText="1"/>
    </x:xf>
    <x:xf numFmtId="0" fontId="9" fillId="8" borderId="8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8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1" xfId="0" applyNumberFormat="1" applyFont="1" applyFill="1" applyBorder="1"/>
    <x:xf numFmtId="0" fontId="0" fillId="10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37A4A"/>
      </x:font>
      <x:fill>
        <x:patternFill patternType="solid">
          <x:bgColor rgb="FFE8F7E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37A4A"/>
      </x:font>
      <x:fill>
        <x:patternFill patternType="solid">
          <x:bgColor rgb="FFE8F7EF"/>
        </x:patternFill>
      </x:fill>
    </x:dxf>
    <x:dxf>
      <x:font>
        <x:b/>
        <x:color rgb="FF137A4A"/>
      </x:font>
      <x:fill>
        <x:patternFill patternType="solid">
          <x:bgColor rgb="FFE8F7EF"/>
        </x:patternFill>
      </x:fill>
    </x:dxf>
    <x:dxf>
      <x:font>
        <x:b/>
        <x:color rgb="FF137A4A"/>
      </x:font>
      <x:fill>
        <x:patternFill patternType="solid">
          <x:bgColor rgb="FFE8F7EF"/>
        </x:patternFill>
      </x:fill>
    </x:dxf>
    <x:dxf>
      <x:font>
        <x:b/>
        <x:color rgb="FF137A4A"/>
      </x:font>
      <x:fill>
        <x:patternFill patternType="solid">
          <x:bgColor rgb="FFE8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9964e00d949ab" /><Relationship Type="http://schemas.openxmlformats.org/officeDocument/2006/relationships/theme" Target="/xl/theme/theme1.xml" Id="R5894429fb7414afa" /><Relationship Type="http://schemas.openxmlformats.org/officeDocument/2006/relationships/sharedStrings" Target="/xl/sharedStrings.xml" Id="R7535d92a08a24417" /><Relationship Type="http://schemas.openxmlformats.org/officeDocument/2006/relationships/worksheet" Target="/xl/worksheets/sheet1.xml" Id="R18750750f7a345fa" /><Relationship Type="http://schemas.openxmlformats.org/officeDocument/2006/relationships/worksheet" Target="/xl/worksheets/sheet2.xml" Id="R4e2005671f39474f" /><Relationship Type="http://schemas.openxmlformats.org/officeDocument/2006/relationships/worksheet" Target="/xl/worksheets/sheet3.xml" Id="R43db333504c2452b" /><Relationship Type="http://schemas.openxmlformats.org/officeDocument/2006/relationships/worksheet" Target="/xl/worksheets/sheet4.xml" Id="R07b865fb1c314cf6" /><Relationship Type="http://schemas.openxmlformats.org/officeDocument/2006/relationships/worksheet" Target="/xl/worksheets/sheet5.xml" Id="R63413ff0f5a74da2" /><Relationship Type="http://schemas.openxmlformats.org/officeDocument/2006/relationships/worksheet" Target="/xl/worksheets/sheet6.xml" Id="R78284629e9654c88" /><Relationship Type="http://schemas.openxmlformats.org/officeDocument/2006/relationships/worksheet" Target="/xl/worksheets/sheet7.xml" Id="R9572fff713e648f0" /><Relationship Type="http://schemas.openxmlformats.org/officeDocument/2006/relationships/worksheet" Target="/xl/worksheets/sheet8.xml" Id="R1062467b51d74e6e" /><Relationship Type="http://schemas.openxmlformats.org/officeDocument/2006/relationships/worksheet" Target="/xl/worksheets/sheet9.xml" Id="Rc70b1780e5114901" /><Relationship Type="http://schemas.openxmlformats.org/officeDocument/2006/relationships/worksheet" Target="/xl/worksheets/sheet10.xml" Id="Ra1f89725a8f74307" /><Relationship Type="http://schemas.openxmlformats.org/officeDocument/2006/relationships/worksheet" Target="/xl/worksheets/sheet11.xml" Id="R71b5eb07c4724ab0" /></Relationships>
</file>

<file path=xl/tables/table1.xml><?xml version="1.0" encoding="utf-8"?>
<x:table xmlns:x="http://schemas.openxmlformats.org/spreadsheetml/2006/main" id="1" name="CountrySourcesTable" displayName="CountrySourcesTable" ref="A4:L185" headerRowCount="1" totalsRowCount="0" totalsRowShown="0">
  <x:tableColumns count="12">
    <x:tableColumn id="1" name="Land"/>
    <x:tableColumn id="2" name="Liga / Umfang"/>
    <x:tableColumn id="3" name="Quelle"/>
    <x:tableColumn id="4" name="URL"/>
    <x:tableColumn id="5" name="Quellentyp"/>
    <x:tableColumn id="6" name="Vertrauen"/>
    <x:tableColumn id="7" name="Priorität"/>
    <x:tableColumn id="8" name="Am besten für"/>
    <x:tableColumn id="9" name="Abdeckung"/>
    <x:tableColumn id="10" name="Zugang"/>
    <x:tableColumn id="11" name="Sprache"/>
    <x:tableColumn id="12" name="Hinwei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rmanyLowerLeaguesTable" displayName="GermanyLowerLeaguesTable" ref="A4:I36" headerRowCount="1" totalsRowCount="0" totalsRowShown="0">
  <x:tableColumns count="9">
    <x:tableColumn id="1" name="Ebene"/>
    <x:tableColumn id="2" name="Region"/>
    <x:tableColumn id="3" name="Quelle"/>
    <x:tableColumn id="4" name="URL"/>
    <x:tableColumn id="5" name="Quellentyp"/>
    <x:tableColumn id="6" name="Vertrauen"/>
    <x:tableColumn id="7" name="Priorität"/>
    <x:tableColumn id="8" name="Am besten für"/>
    <x:tableColumn id="9" name="Hinwei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IsTable" displayName="APIsTable" ref="A4:K24" headerRowCount="1" totalsRowCount="0" totalsRowShown="0">
  <x:tableColumns count="11">
    <x:tableColumn id="1" name="Anbieter"/>
    <x:tableColumn id="2" name="Produkt"/>
    <x:tableColumn id="3" name="URL"/>
    <x:tableColumn id="4" name="Kategorie"/>
    <x:tableColumn id="5" name="Abdeckung"/>
    <x:tableColumn id="6" name="Datentypen"/>
    <x:tableColumn id="7" name="Stärke"/>
    <x:tableColumn id="8" name="Grenzen/Risiken"/>
    <x:tableColumn id="9" name="Zugang"/>
    <x:tableColumn id="10" name="Priorität"/>
    <x:tableColumn id="11" name="Empfohlener Einsatz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nitoringTable" displayName="MonitoringTable" ref="A4:H20" headerRowCount="1" totalsRowCount="0" totalsRowShown="0">
  <x:tableColumns count="8">
    <x:tableColumn id="1" name="Tool"/>
    <x:tableColumn id="2" name="URL"/>
    <x:tableColumn id="3" name="Kategorie"/>
    <x:tableColumn id="4" name="Abdeckung"/>
    <x:tableColumn id="5" name="Einsatz"/>
    <x:tableColumn id="6" name="Vorteile"/>
    <x:tableColumn id="7" name="Nachteile"/>
    <x:tableColumn id="8" name="Prioritä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siderNetworkTable" displayName="InsiderNetworkTable" ref="A4:G19" headerRowCount="1" totalsRowCount="0" totalsRowShown="0">
  <x:tableColumns count="7">
    <x:tableColumn id="1" name="Kanal"/>
    <x:tableColumn id="2" name="Zielgruppe"/>
    <x:tableColumn id="3" name="Methode"/>
    <x:tableColumn id="4" name="Ergebnis"/>
    <x:tableColumn id="5" name="Verifikation"/>
    <x:tableColumn id="6" name="Recht/Compliance"/>
    <x:tableColumn id="7" name="Prioritä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gistersTable" displayName="RegistersTable" ref="A4:G28" headerRowCount="1" totalsRowCount="0" totalsRowShown="0">
  <x:tableColumns count="7">
    <x:tableColumn id="1" name="Land/Region"/>
    <x:tableColumn id="2" name="Quelle/Register"/>
    <x:tableColumn id="3" name="URL"/>
    <x:tableColumn id="4" name="Information"/>
    <x:tableColumn id="5" name="Vertrauen"/>
    <x:tableColumn id="6" name="Rhythmus"/>
    <x:tableColumn id="7" name="Hinwei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orkflowTable" displayName="WorkflowTable" ref="A4:E19" headerRowCount="1" totalsRowCount="0" totalsRowShown="0">
  <x:tableColumns count="5">
    <x:tableColumn id="1" name="Zeit/Rhythmus"/>
    <x:tableColumn id="2" name="Workflow"/>
    <x:tableColumn id="3" name="Konkrete Aufgabe"/>
    <x:tableColumn id="4" name="Verantwortlich"/>
    <x:tableColumn id="5" name="Outpu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lubTemplateTable" displayName="ClubTemplateTable" ref="A4:F23" headerRowCount="1" totalsRowCount="0" totalsRowShown="0">
  <x:tableColumns count="6">
    <x:tableColumn id="1" name="Ebene"/>
    <x:tableColumn id="2" name="Quellentyp pro Club"/>
    <x:tableColumn id="3" name="Vertrauen"/>
    <x:tableColumn id="4" name="Information"/>
    <x:tableColumn id="5" name="Ingestion"/>
    <x:tableColumn id="6" name="Rhythm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eywordsTable" displayName="KeywordsTable" ref="A4:C14" headerRowCount="1" totalsRowCount="0" totalsRowShown="0">
  <x:tableColumns count="3">
    <x:tableColumn id="1" name="Markt"/>
    <x:tableColumn id="2" name="Sprache"/>
    <x:tableColumn id="3" name="Suchbegriffe und Signalwört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coreTable" displayName="SourceScoreTable" ref="A4:K24" headerRowCount="1" totalsRowCount="0" totalsRowShown="0">
  <x:tableColumns count="11">
    <x:tableColumn id="1" name="Quelle/Reporter"/>
    <x:tableColumn id="2" name="Land"/>
    <x:tableColumn id="3" name="Tier"/>
    <x:tableColumn id="4" name="Offiziell 0/1"/>
    <x:tableColumn id="5" name="Named Reporter 0/1"/>
    <x:tableColumn id="6" name="Track Record 0–5"/>
    <x:tableColumn id="7" name="Bestätigungen 0–3"/>
    <x:tableColumn id="8" name="Aktualität 0–3"/>
    <x:tableColumn id="9" name="Fehlerabzug 0–5"/>
    <x:tableColumn id="10" name="Score"/>
    <x:tableColumn id="11" name="Einstuf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f35bb93c6145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6537584be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ac02808a8a49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e8ba234c424b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557fd728d546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0dcb1a860641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fe1e9bbb85b45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77ec0e527c241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6639e415db245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7029faae558426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27" hidden="0" customWidth="1"/>
    <x:col min="4" max="4" width="40" hidden="0" customWidth="1"/>
    <x:col min="5" max="5" width="20" hidden="0" customWidth="1"/>
    <x:col min="6" max="6" width="12" hidden="0" customWidth="1"/>
    <x:col min="7" max="7" width="10" hidden="0" customWidth="1"/>
    <x:col min="8" max="8" width="32" hidden="0" customWidth="1"/>
    <x:col min="9" max="9" width="32" hidden="0" customWidth="1"/>
    <x:col min="10" max="10" width="22" hidden="0" customWidth="1"/>
    <x:col min="11" max="11" width="14" hidden="0" customWidth="1"/>
    <x:col min="12" max="12" width="38" hidden="0" customWidth="1"/>
  </x:cols>
  <x:sheetData>
    <x:row r="1" ht="30" customHeight="1">
      <x:c r="A1" s="4" t="str">
        <x:v>TransferWire – Länder- und Ligaquellen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11" t="str">
        <x:v>Kuratiertes Quellenregister für 1. und 2. Ligen in 15 Ländern. Priorität 1 = täglich/Alert; A1 = offizielle Primärquelle; A2 = hochwertiges Fach-/Beat-Medium; B = gute Spezial-/Sekundärquelle.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4" customHeight="1">
      <x:c r="A4" s="21" t="str">
        <x:v>Land</x:v>
      </x:c>
      <x:c r="B4" s="21" t="str">
        <x:v>Liga / Umfang</x:v>
      </x:c>
      <x:c r="C4" s="21" t="str">
        <x:v>Quelle</x:v>
      </x:c>
      <x:c r="D4" s="21" t="str">
        <x:v>URL</x:v>
      </x:c>
      <x:c r="E4" s="21" t="str">
        <x:v>Quellentyp</x:v>
      </x:c>
      <x:c r="F4" s="21" t="str">
        <x:v>Vertrauen</x:v>
      </x:c>
      <x:c r="G4" s="21" t="str">
        <x:v>Priorität</x:v>
      </x:c>
      <x:c r="H4" s="21" t="str">
        <x:v>Am besten für</x:v>
      </x:c>
      <x:c r="I4" s="21" t="str">
        <x:v>Abdeckung</x:v>
      </x:c>
      <x:c r="J4" s="21" t="str">
        <x:v>Zugang</x:v>
      </x:c>
      <x:c r="K4" s="21" t="str">
        <x:v>Sprache</x:v>
      </x:c>
      <x:c r="L4" s="21" t="str">
        <x:v>Hinweise</x:v>
      </x:c>
    </x:row>
    <x:row r="5">
      <x:c r="A5" s="52" t="str">
        <x:v>Deutschland</x:v>
      </x:c>
      <x:c r="B5" s="52" t="str">
        <x:v>Bundesliga / 2. Bundesliga</x:v>
      </x:c>
      <x:c r="C5" s="52" t="str">
        <x:v>Bundesliga.com</x:v>
      </x:c>
      <x:c r="D5" s="52" t="str">
        <x:v>https://www.bundesliga.com/de/</x:v>
      </x:c>
      <x:c r="E5" s="52" t="str">
        <x:v>Offizielle Liga</x:v>
      </x:c>
      <x:c r="F5" s="52" t="str">
        <x:v>A1</x:v>
      </x:c>
      <x:c r="G5" s="52" t="n">
        <x:v>1</x:v>
      </x:c>
      <x:c r="H5" s="52" t="str">
        <x:v>Offizielle News, Kader, Spielpläne, Statistiken</x:v>
      </x:c>
      <x:c r="I5" s="52" t="str">
        <x:v>Alle Clubs der 1. und 2. Bundesliga</x:v>
      </x:c>
      <x:c r="J5" s="52" t="str">
        <x:v>Frei / Lizenz für Weiterverwendung prüfen</x:v>
      </x:c>
      <x:c r="K5" s="52" t="str">
        <x:v>DE/EN</x:v>
      </x:c>
      <x:c r="L5" s="53" t="str"/>
    </x:row>
    <x:row r="6">
      <x:c r="A6" s="36" t="str">
        <x:v>Deutschland</x:v>
      </x:c>
      <x:c r="B6" s="36" t="str">
        <x:v>3. Liga</x:v>
      </x:c>
      <x:c r="C6" s="36" t="str">
        <x:v>DFB 3. Liga</x:v>
      </x:c>
      <x:c r="D6" s="36" t="str">
        <x:v>https://www.dfb.de/maenner/ligen/3-liga</x:v>
      </x:c>
      <x:c r="E6" s="36" t="str">
        <x:v>Offizieller Verband</x:v>
      </x:c>
      <x:c r="F6" s="36" t="str">
        <x:v>A1</x:v>
      </x:c>
      <x:c r="G6" s="36" t="n">
        <x:v>1</x:v>
      </x:c>
      <x:c r="H6" s="36" t="str">
        <x:v>Offizielle News, Spielbetrieb, Dokumente</x:v>
      </x:c>
      <x:c r="I6" s="36" t="str">
        <x:v>Alle 3.-Liga-Clubs</x:v>
      </x:c>
      <x:c r="J6" s="36" t="str">
        <x:v>Frei / Lizenz prüfen</x:v>
      </x:c>
      <x:c r="K6" s="36" t="str">
        <x:v>DE</x:v>
      </x:c>
      <x:c r="L6" s="37" t="str"/>
    </x:row>
    <x:row r="7">
      <x:c r="A7" s="52" t="str">
        <x:v>Deutschland</x:v>
      </x:c>
      <x:c r="B7" s="52" t="str">
        <x:v>Alle Profiligen</x:v>
      </x:c>
      <x:c r="C7" s="52" t="str">
        <x:v>kicker</x:v>
      </x:c>
      <x:c r="D7" s="52" t="str">
        <x:v>https://www.kicker.de/</x:v>
      </x:c>
      <x:c r="E7" s="52" t="str">
        <x:v>Nationales Fachmedium</x:v>
      </x:c>
      <x:c r="F7" s="52" t="str">
        <x:v>A2</x:v>
      </x:c>
      <x:c r="G7" s="52" t="n">
        <x:v>1</x:v>
      </x:c>
      <x:c r="H7" s="52" t="str">
        <x:v>Transfers, Kader, Verletzungen, Interviews</x:v>
      </x:c>
      <x:c r="I7" s="52" t="str">
        <x:v>Bundesliga bis 3. Liga, teils Regionalliga</x:v>
      </x:c>
      <x:c r="J7" s="52" t="str">
        <x:v>Abo/Frei</x:v>
      </x:c>
      <x:c r="K7" s="52" t="str">
        <x:v>DE</x:v>
      </x:c>
      <x:c r="L7" s="53" t="str"/>
    </x:row>
    <x:row r="8">
      <x:c r="A8" s="36" t="str">
        <x:v>Deutschland</x:v>
      </x:c>
      <x:c r="B8" s="36" t="str">
        <x:v>Bundesliga / 2. Bundesliga</x:v>
      </x:c>
      <x:c r="C8" s="36" t="str">
        <x:v>Sky Sport Deutschland – Transfer Update</x:v>
      </x:c>
      <x:c r="D8" s="36" t="str">
        <x:v>https://sport.sky.de/fussball</x:v>
      </x:c>
      <x:c r="E8" s="36" t="str">
        <x:v>TV/Fachredaktion</x:v>
      </x:c>
      <x:c r="F8" s="36" t="str">
        <x:v>A2</x:v>
      </x:c>
      <x:c r="G8" s="36" t="n">
        <x:v>1</x:v>
      </x:c>
      <x:c r="H8" s="36" t="str">
        <x:v>Transfer-News, Interviews, Deadline-Day</x:v>
      </x:c>
      <x:c r="I8" s="36" t="str">
        <x:v>Top 2 Ligen, internationale Märkte</x:v>
      </x:c>
      <x:c r="J8" s="36" t="str">
        <x:v>Frei/Abo</x:v>
      </x:c>
      <x:c r="K8" s="36" t="str">
        <x:v>DE</x:v>
      </x:c>
      <x:c r="L8" s="37" t="str"/>
    </x:row>
    <x:row r="9">
      <x:c r="A9" s="52" t="str">
        <x:v>Deutschland</x:v>
      </x:c>
      <x:c r="B9" s="52" t="str">
        <x:v>Alle Ligen</x:v>
      </x:c>
      <x:c r="C9" s="52" t="str">
        <x:v>Sportschau / ARD</x:v>
      </x:c>
      <x:c r="D9" s="52" t="str">
        <x:v>https://www.sportschau.de/fussball/</x:v>
      </x:c>
      <x:c r="E9" s="52" t="str">
        <x:v>Öffentlich-rechtlich</x:v>
      </x:c>
      <x:c r="F9" s="52" t="str">
        <x:v>A2</x:v>
      </x:c>
      <x:c r="G9" s="52" t="n">
        <x:v>1</x:v>
      </x:c>
      <x:c r="H9" s="52" t="str">
        <x:v>Offizielle Aussagen, DFB, regionale Berichte</x:v>
      </x:c>
      <x:c r="I9" s="52" t="str">
        <x:v>Bundesliga bis Regionalliga</x:v>
      </x:c>
      <x:c r="J9" s="52" t="str">
        <x:v>Frei</x:v>
      </x:c>
      <x:c r="K9" s="52" t="str">
        <x:v>DE</x:v>
      </x:c>
      <x:c r="L9" s="53" t="str"/>
    </x:row>
    <x:row r="10">
      <x:c r="A10" s="36" t="str">
        <x:v>Deutschland</x:v>
      </x:c>
      <x:c r="B10" s="36" t="str">
        <x:v>Alle Ligen</x:v>
      </x:c>
      <x:c r="C10" s="36" t="str">
        <x:v>Transfermarkt</x:v>
      </x:c>
      <x:c r="D10" s="36" t="str">
        <x:v>https://www.transfermarkt.de/</x:v>
      </x:c>
      <x:c r="E10" s="36" t="str">
        <x:v>Datenbank / Community</x:v>
      </x:c>
      <x:c r="F10" s="36" t="str">
        <x:v>B</x:v>
      </x:c>
      <x:c r="G10" s="36" t="n">
        <x:v>1</x:v>
      </x:c>
      <x:c r="H10" s="36" t="str">
        <x:v>Kader, Verträge, Marktwerte, Transferhistorie</x:v>
      </x:c>
      <x:c r="I10" s="36" t="str">
        <x:v>Sehr breite Club- und Ligentiefe</x:v>
      </x:c>
      <x:c r="J10" s="36" t="str">
        <x:v>Frei/Abo; kommerzielle Nutzung lizenzieren</x:v>
      </x:c>
      <x:c r="K10" s="36" t="str">
        <x:v>DE/mehrsprachig</x:v>
      </x:c>
      <x:c r="L10" s="37" t="str">
        <x:v>Nicht als alleinige Bestätigung verwenden</x:v>
      </x:c>
    </x:row>
    <x:row r="11">
      <x:c r="A11" s="52" t="str">
        <x:v>Deutschland</x:v>
      </x:c>
      <x:c r="B11" s="52" t="str">
        <x:v>3. Liga</x:v>
      </x:c>
      <x:c r="C11" s="52" t="str">
        <x:v>liga3-online.de</x:v>
      </x:c>
      <x:c r="D11" s="52" t="str">
        <x:v>https://www.liga3-online.de/</x:v>
      </x:c>
      <x:c r="E11" s="52" t="str">
        <x:v>Spezialmedium</x:v>
      </x:c>
      <x:c r="F11" s="52" t="str">
        <x:v>B</x:v>
      </x:c>
      <x:c r="G11" s="52" t="n">
        <x:v>1</x:v>
      </x:c>
      <x:c r="H11" s="52" t="str">
        <x:v>3.-Liga-Transfers, Kader, Verletzungen</x:v>
      </x:c>
      <x:c r="I11" s="52" t="str">
        <x:v>Alle 3.-Liga-Clubs</x:v>
      </x:c>
      <x:c r="J11" s="52" t="str">
        <x:v>Frei</x:v>
      </x:c>
      <x:c r="K11" s="52" t="str">
        <x:v>DE</x:v>
      </x:c>
      <x:c r="L11" s="53" t="str"/>
    </x:row>
    <x:row r="12">
      <x:c r="A12" s="36" t="str">
        <x:v>Deutschland</x:v>
      </x:c>
      <x:c r="B12" s="36" t="str">
        <x:v>Regionalliga / Oberliga</x:v>
      </x:c>
      <x:c r="C12" s="36" t="str">
        <x:v>FuPa</x:v>
      </x:c>
      <x:c r="D12" s="36" t="str">
        <x:v>https://www.fupa.net/</x:v>
      </x:c>
      <x:c r="E12" s="36" t="str">
        <x:v>Regional-/Amateurportal</x:v>
      </x:c>
      <x:c r="F12" s="36" t="str">
        <x:v>B</x:v>
      </x:c>
      <x:c r="G12" s="36" t="n">
        <x:v>1</x:v>
      </x:c>
      <x:c r="H12" s="36" t="str">
        <x:v>Transfers, Spielerkader, lokale Meldungen</x:v>
      </x:c>
      <x:c r="I12" s="36" t="str">
        <x:v>Regionalligen, Oberligen, Amateurfußball</x:v>
      </x:c>
      <x:c r="J12" s="36" t="str">
        <x:v>Frei</x:v>
      </x:c>
      <x:c r="K12" s="36" t="str">
        <x:v>DE</x:v>
      </x:c>
      <x:c r="L12" s="37" t="str"/>
    </x:row>
    <x:row r="13">
      <x:c r="A13" s="52" t="str">
        <x:v>Deutschland</x:v>
      </x:c>
      <x:c r="B13" s="52" t="str">
        <x:v>Regionalliga West / NRW</x:v>
      </x:c>
      <x:c r="C13" s="52" t="str">
        <x:v>RevierSport</x:v>
      </x:c>
      <x:c r="D13" s="52" t="str">
        <x:v>https://www.reviersport.de/</x:v>
      </x:c>
      <x:c r="E13" s="52" t="str">
        <x:v>Regionalmedium</x:v>
      </x:c>
      <x:c r="F13" s="52" t="str">
        <x:v>B</x:v>
      </x:c>
      <x:c r="G13" s="52" t="n">
        <x:v>1</x:v>
      </x:c>
      <x:c r="H13" s="52" t="str">
        <x:v>Transfers und Insider im Westen</x:v>
      </x:c>
      <x:c r="I13" s="52" t="str">
        <x:v>Regionalliga West, Ruhrgebiet, 3. Liga</x:v>
      </x:c>
      <x:c r="J13" s="52" t="str">
        <x:v>Frei/Abo</x:v>
      </x:c>
      <x:c r="K13" s="52" t="str">
        <x:v>DE</x:v>
      </x:c>
      <x:c r="L13" s="53" t="str"/>
    </x:row>
    <x:row r="14">
      <x:c r="A14" s="36" t="str">
        <x:v>Deutschland</x:v>
      </x:c>
      <x:c r="B14" s="36" t="str">
        <x:v>Regionalliga Nordost</x:v>
      </x:c>
      <x:c r="C14" s="36" t="str">
        <x:v>MDR Sport</x:v>
      </x:c>
      <x:c r="D14" s="36" t="str">
        <x:v>https://www.mdr.de/sport/fussball/index.html</x:v>
      </x:c>
      <x:c r="E14" s="36" t="str">
        <x:v>Regionaler Rundfunk</x:v>
      </x:c>
      <x:c r="F14" s="36" t="str">
        <x:v>A2</x:v>
      </x:c>
      <x:c r="G14" s="36" t="n">
        <x:v>1</x:v>
      </x:c>
      <x:c r="H14" s="36" t="str">
        <x:v>Club-News, Interviews, lokale Hintergründe</x:v>
      </x:c>
      <x:c r="I14" s="36" t="str">
        <x:v>Sachsen, Sachsen-Anhalt, Thüringen und Nordost</x:v>
      </x:c>
      <x:c r="J14" s="36" t="str">
        <x:v>Frei</x:v>
      </x:c>
      <x:c r="K14" s="36" t="str">
        <x:v>DE</x:v>
      </x:c>
      <x:c r="L14" s="37" t="str"/>
    </x:row>
    <x:row r="15">
      <x:c r="A15" s="52" t="str">
        <x:v>Deutschland</x:v>
      </x:c>
      <x:c r="B15" s="52" t="str">
        <x:v>Regionalliga Nord</x:v>
      </x:c>
      <x:c r="C15" s="52" t="str">
        <x:v>NDR Sport</x:v>
      </x:c>
      <x:c r="D15" s="52" t="str">
        <x:v>https://www.ndr.de/sport/fussball/</x:v>
      </x:c>
      <x:c r="E15" s="52" t="str">
        <x:v>Regionaler Rundfunk</x:v>
      </x:c>
      <x:c r="F15" s="52" t="str">
        <x:v>A2</x:v>
      </x:c>
      <x:c r="G15" s="52" t="n">
        <x:v>1</x:v>
      </x:c>
      <x:c r="H15" s="52" t="str">
        <x:v>Club-News und regionale Entwicklungen</x:v>
      </x:c>
      <x:c r="I15" s="52" t="str">
        <x:v>Norddeutschland</x:v>
      </x:c>
      <x:c r="J15" s="52" t="str">
        <x:v>Frei</x:v>
      </x:c>
      <x:c r="K15" s="52" t="str">
        <x:v>DE</x:v>
      </x:c>
      <x:c r="L15" s="53" t="str"/>
    </x:row>
    <x:row r="16">
      <x:c r="A16" s="36" t="str">
        <x:v>Deutschland</x:v>
      </x:c>
      <x:c r="B16" s="36" t="str">
        <x:v>Regionalliga Bayern</x:v>
      </x:c>
      <x:c r="C16" s="36" t="str">
        <x:v>BR24 Sport</x:v>
      </x:c>
      <x:c r="D16" s="36" t="str">
        <x:v>https://www.br.de/nachrichten/sport/</x:v>
      </x:c>
      <x:c r="E16" s="36" t="str">
        <x:v>Regionaler Rundfunk</x:v>
      </x:c>
      <x:c r="F16" s="36" t="str">
        <x:v>A2</x:v>
      </x:c>
      <x:c r="G16" s="36" t="n">
        <x:v>1</x:v>
      </x:c>
      <x:c r="H16" s="36" t="str">
        <x:v>Bayern-Clubs, Interviews, Verbandsnews</x:v>
      </x:c>
      <x:c r="I16" s="36" t="str">
        <x:v>Bayern</x:v>
      </x:c>
      <x:c r="J16" s="36" t="str">
        <x:v>Frei</x:v>
      </x:c>
      <x:c r="K16" s="36" t="str">
        <x:v>DE</x:v>
      </x:c>
      <x:c r="L16" s="37" t="str"/>
    </x:row>
    <x:row r="17">
      <x:c r="A17" s="52" t="str">
        <x:v>Deutschland</x:v>
      </x:c>
      <x:c r="B17" s="52" t="str">
        <x:v>Regionalliga Südwest</x:v>
      </x:c>
      <x:c r="C17" s="52" t="str">
        <x:v>SWR Sport</x:v>
      </x:c>
      <x:c r="D17" s="52" t="str">
        <x:v>https://www.swr.de/sport/</x:v>
      </x:c>
      <x:c r="E17" s="52" t="str">
        <x:v>Regionaler Rundfunk</x:v>
      </x:c>
      <x:c r="F17" s="52" t="str">
        <x:v>A2</x:v>
      </x:c>
      <x:c r="G17" s="52" t="n">
        <x:v>1</x:v>
      </x:c>
      <x:c r="H17" s="52" t="str">
        <x:v>Südwest-Clubs, lokale Hintergründe</x:v>
      </x:c>
      <x:c r="I17" s="52" t="str">
        <x:v>Baden-Württemberg/Rheinland-Pfalz/Saarland</x:v>
      </x:c>
      <x:c r="J17" s="52" t="str">
        <x:v>Frei</x:v>
      </x:c>
      <x:c r="K17" s="52" t="str">
        <x:v>DE</x:v>
      </x:c>
      <x:c r="L17" s="53" t="str"/>
    </x:row>
    <x:row r="18">
      <x:c r="A18" s="36" t="str">
        <x:v>Deutschland</x:v>
      </x:c>
      <x:c r="B18" s="36" t="str">
        <x:v>NRW</x:v>
      </x:c>
      <x:c r="C18" s="36" t="str">
        <x:v>WDR Sport</x:v>
      </x:c>
      <x:c r="D18" s="36" t="str">
        <x:v>https://www1.wdr.de/sport/fussball/index.html</x:v>
      </x:c>
      <x:c r="E18" s="36" t="str">
        <x:v>Regionaler Rundfunk</x:v>
      </x:c>
      <x:c r="F18" s="36" t="str">
        <x:v>A2</x:v>
      </x:c>
      <x:c r="G18" s="36" t="n">
        <x:v>1</x:v>
      </x:c>
      <x:c r="H18" s="36" t="str">
        <x:v>NRW-Clubs, Interviews, Hintergründe</x:v>
      </x:c>
      <x:c r="I18" s="36" t="str">
        <x:v>NRW</x:v>
      </x:c>
      <x:c r="J18" s="36" t="str">
        <x:v>Frei</x:v>
      </x:c>
      <x:c r="K18" s="36" t="str">
        <x:v>DE</x:v>
      </x:c>
      <x:c r="L18" s="37" t="str"/>
    </x:row>
    <x:row r="19">
      <x:c r="A19" s="52" t="str">
        <x:v>Deutschland</x:v>
      </x:c>
      <x:c r="B19" s="52" t="str">
        <x:v>Alle Clubs</x:v>
      </x:c>
      <x:c r="C19" s="52" t="str">
        <x:v>Offizielle Club-Websites und Social-Kanäle</x:v>
      </x:c>
      <x:c r="D19" s="52" t="str"/>
      <x:c r="E19" s="52" t="str">
        <x:v>Primärquelle</x:v>
      </x:c>
      <x:c r="F19" s="52" t="str">
        <x:v>A1</x:v>
      </x:c>
      <x:c r="G19" s="52" t="n">
        <x:v>1</x:v>
      </x:c>
      <x:c r="H19" s="52" t="str">
        <x:v>Bestätigungen, Kader, Verletzungen, Verträge</x:v>
      </x:c>
      <x:c r="I19" s="52" t="str">
        <x:v>Jeder Club einzeln</x:v>
      </x:c>
      <x:c r="J19" s="52" t="str">
        <x:v>Frei</x:v>
      </x:c>
      <x:c r="K19" s="52" t="str">
        <x:v>DE</x:v>
      </x:c>
      <x:c r="L19" s="53" t="str">
        <x:v>Für jeden Club Website, X, Instagram, YouTube, LinkedIn und Newsletter erfassen</x:v>
      </x:c>
    </x:row>
    <x:row r="20">
      <x:c r="A20" s="36" t="str">
        <x:v>Deutschland</x:v>
      </x:c>
      <x:c r="B20" s="36" t="str">
        <x:v>Alle Ligen</x:v>
      </x:c>
      <x:c r="C20" s="36" t="str">
        <x:v>dpa / SID</x:v>
      </x:c>
      <x:c r="D20" s="36" t="str">
        <x:v>https://www.dpa.com/de/</x:v>
      </x:c>
      <x:c r="E20" s="36" t="str">
        <x:v>Nachrichtenagentur</x:v>
      </x:c>
      <x:c r="F20" s="36" t="str">
        <x:v>A2</x:v>
      </x:c>
      <x:c r="G20" s="36" t="n">
        <x:v>1</x:v>
      </x:c>
      <x:c r="H20" s="36" t="str">
        <x:v>Bestätigte Meldungen und Zitate</x:v>
      </x:c>
      <x:c r="I20" s="36" t="str">
        <x:v>Bundesweit</x:v>
      </x:c>
      <x:c r="J20" s="36" t="str">
        <x:v>Lizenzpflichtig</x:v>
      </x:c>
      <x:c r="K20" s="36" t="str">
        <x:v>DE</x:v>
      </x:c>
      <x:c r="L20" s="37" t="str"/>
    </x:row>
    <x:row r="21">
      <x:c r="A21" s="52" t="str">
        <x:v>Deutschland</x:v>
      </x:c>
      <x:c r="B21" s="52" t="str">
        <x:v>Regionalliga / Amateur</x:v>
      </x:c>
      <x:c r="C21" s="52" t="str">
        <x:v>FUSSBALL.DE</x:v>
      </x:c>
      <x:c r="D21" s="52" t="str">
        <x:v>https://www.fussball.de/</x:v>
      </x:c>
      <x:c r="E21" s="52" t="str">
        <x:v>Offizielle Verbandsplattform</x:v>
      </x:c>
      <x:c r="F21" s="52" t="str">
        <x:v>A1</x:v>
      </x:c>
      <x:c r="G21" s="52" t="n">
        <x:v>1</x:v>
      </x:c>
      <x:c r="H21" s="52" t="str">
        <x:v>Spielpläne, Aufstellungen, Wechsel-/Meldedaten</x:v>
      </x:c>
      <x:c r="I21" s="52" t="str">
        <x:v>Breiter deutscher Amateurfußball</x:v>
      </x:c>
      <x:c r="J21" s="52" t="str">
        <x:v>Frei / Datennutzung prüfen</x:v>
      </x:c>
      <x:c r="K21" s="52" t="str">
        <x:v>DE</x:v>
      </x:c>
      <x:c r="L21" s="53" t="str"/>
    </x:row>
    <x:row r="22">
      <x:c r="A22" s="36" t="str">
        <x:v>England</x:v>
      </x:c>
      <x:c r="B22" s="36" t="str">
        <x:v>Premier League</x:v>
      </x:c>
      <x:c r="C22" s="36" t="str">
        <x:v>PremierLeague.com</x:v>
      </x:c>
      <x:c r="D22" s="36" t="str">
        <x:v>https://www.premierleague.com/en</x:v>
      </x:c>
      <x:c r="E22" s="36" t="str">
        <x:v>Offizielle Liga</x:v>
      </x:c>
      <x:c r="F22" s="36" t="str">
        <x:v>A1</x:v>
      </x:c>
      <x:c r="G22" s="36" t="n">
        <x:v>1</x:v>
      </x:c>
      <x:c r="H22" s="36" t="str">
        <x:v>Offizielle News, Kader, Stats</x:v>
      </x:c>
      <x:c r="I22" s="36" t="str">
        <x:v>Alle Premier-League-Clubs</x:v>
      </x:c>
      <x:c r="J22" s="36" t="str">
        <x:v>Frei / Lizenz prüfen</x:v>
      </x:c>
      <x:c r="K22" s="36" t="str">
        <x:v>EN</x:v>
      </x:c>
      <x:c r="L22" s="37" t="str"/>
    </x:row>
    <x:row r="23">
      <x:c r="A23" s="52" t="str">
        <x:v>England</x:v>
      </x:c>
      <x:c r="B23" s="52" t="str">
        <x:v>Championship / EFL</x:v>
      </x:c>
      <x:c r="C23" s="52" t="str">
        <x:v>EFL.com</x:v>
      </x:c>
      <x:c r="D23" s="52" t="str">
        <x:v>https://www.efl.com/</x:v>
      </x:c>
      <x:c r="E23" s="52" t="str">
        <x:v>Offizielle Liga</x:v>
      </x:c>
      <x:c r="F23" s="52" t="str">
        <x:v>A1</x:v>
      </x:c>
      <x:c r="G23" s="52" t="n">
        <x:v>1</x:v>
      </x:c>
      <x:c r="H23" s="52" t="str">
        <x:v>Championship-News, Spielbetrieb, Dokumente</x:v>
      </x:c>
      <x:c r="I23" s="52" t="str">
        <x:v>Alle EFL-Clubs</x:v>
      </x:c>
      <x:c r="J23" s="52" t="str">
        <x:v>Frei / Lizenz prüfen</x:v>
      </x:c>
      <x:c r="K23" s="52" t="str">
        <x:v>EN</x:v>
      </x:c>
      <x:c r="L23" s="53" t="str"/>
    </x:row>
    <x:row r="24">
      <x:c r="A24" s="36" t="str">
        <x:v>England</x:v>
      </x:c>
      <x:c r="B24" s="36" t="str">
        <x:v>Alle Profiligen</x:v>
      </x:c>
      <x:c r="C24" s="36" t="str">
        <x:v>BBC Sport Football</x:v>
      </x:c>
      <x:c r="D24" s="36" t="str">
        <x:v>https://www.bbc.com/sport/football</x:v>
      </x:c>
      <x:c r="E24" s="36" t="str">
        <x:v>Nationales Qualitätsmedium</x:v>
      </x:c>
      <x:c r="F24" s="36" t="str">
        <x:v>A2</x:v>
      </x:c>
      <x:c r="G24" s="36" t="n">
        <x:v>1</x:v>
      </x:c>
      <x:c r="H24" s="36" t="str">
        <x:v>Bestätigungen, Liveblogs, Club-News</x:v>
      </x:c>
      <x:c r="I24" s="36" t="str">
        <x:v>Premier League bis EFL</x:v>
      </x:c>
      <x:c r="J24" s="36" t="str">
        <x:v>Frei</x:v>
      </x:c>
      <x:c r="K24" s="36" t="str">
        <x:v>EN</x:v>
      </x:c>
      <x:c r="L24" s="37" t="str"/>
    </x:row>
    <x:row r="25">
      <x:c r="A25" s="52" t="str">
        <x:v>England</x:v>
      </x:c>
      <x:c r="B25" s="52" t="str">
        <x:v>Premier League / Championship</x:v>
      </x:c>
      <x:c r="C25" s="52" t="str">
        <x:v>Sky Sports Football</x:v>
      </x:c>
      <x:c r="D25" s="52" t="str">
        <x:v>https://www.skysports.com/football</x:v>
      </x:c>
      <x:c r="E25" s="52" t="str">
        <x:v>TV/Fachredaktion</x:v>
      </x:c>
      <x:c r="F25" s="52" t="str">
        <x:v>A2</x:v>
      </x:c>
      <x:c r="G25" s="52" t="n">
        <x:v>1</x:v>
      </x:c>
      <x:c r="H25" s="52" t="str">
        <x:v>Transfer Centre, Interviews, Breaking News</x:v>
      </x:c>
      <x:c r="I25" s="52" t="str">
        <x:v>Topligen und EFL</x:v>
      </x:c>
      <x:c r="J25" s="52" t="str">
        <x:v>Frei/Abo</x:v>
      </x:c>
      <x:c r="K25" s="52" t="str">
        <x:v>EN</x:v>
      </x:c>
      <x:c r="L25" s="53" t="str"/>
    </x:row>
    <x:row r="26">
      <x:c r="A26" s="36" t="str">
        <x:v>England</x:v>
      </x:c>
      <x:c r="B26" s="36" t="str">
        <x:v>Premier League / Championship</x:v>
      </x:c>
      <x:c r="C26" s="36" t="str">
        <x:v>The Athletic Football</x:v>
      </x:c>
      <x:c r="D26" s="36" t="str">
        <x:v>https://www.nytimes.com/athletic/football/</x:v>
      </x:c>
      <x:c r="E26" s="36" t="str">
        <x:v>Premium-Fachmedium</x:v>
      </x:c>
      <x:c r="F26" s="36" t="str">
        <x:v>A2</x:v>
      </x:c>
      <x:c r="G26" s="36" t="n">
        <x:v>1</x:v>
      </x:c>
      <x:c r="H26" s="36" t="str">
        <x:v>Club-Beat-Reporter, Hintergründe, Transfers</x:v>
      </x:c>
      <x:c r="I26" s="36" t="str">
        <x:v>Sehr tiefe Club-Abdeckung</x:v>
      </x:c>
      <x:c r="J26" s="36" t="str">
        <x:v>Abo</x:v>
      </x:c>
      <x:c r="K26" s="36" t="str">
        <x:v>EN</x:v>
      </x:c>
      <x:c r="L26" s="37" t="str"/>
    </x:row>
    <x:row r="27">
      <x:c r="A27" s="52" t="str">
        <x:v>England</x:v>
      </x:c>
      <x:c r="B27" s="52" t="str">
        <x:v>Alle Profiligen</x:v>
      </x:c>
      <x:c r="C27" s="52" t="str">
        <x:v>The Guardian Football</x:v>
      </x:c>
      <x:c r="D27" s="52" t="str">
        <x:v>https://www.theguardian.com/football</x:v>
      </x:c>
      <x:c r="E27" s="52" t="str">
        <x:v>Nationales Qualitätsmedium</x:v>
      </x:c>
      <x:c r="F27" s="52" t="str">
        <x:v>A2</x:v>
      </x:c>
      <x:c r="G27" s="52" t="n">
        <x:v>1</x:v>
      </x:c>
      <x:c r="H27" s="52" t="str">
        <x:v>Transfer-Liveblog, Analysen, Club-News</x:v>
      </x:c>
      <x:c r="I27" s="52" t="str">
        <x:v>Breit</x:v>
      </x:c>
      <x:c r="J27" s="52" t="str">
        <x:v>Frei/Abo</x:v>
      </x:c>
      <x:c r="K27" s="52" t="str">
        <x:v>EN</x:v>
      </x:c>
      <x:c r="L27" s="53" t="str"/>
    </x:row>
    <x:row r="28">
      <x:c r="A28" s="36" t="str">
        <x:v>England</x:v>
      </x:c>
      <x:c r="B28" s="36" t="str">
        <x:v>Premier League / Championship</x:v>
      </x:c>
      <x:c r="C28" s="36" t="str">
        <x:v>The Telegraph Football</x:v>
      </x:c>
      <x:c r="D28" s="36" t="str">
        <x:v>https://www.telegraph.co.uk/football/</x:v>
      </x:c>
      <x:c r="E28" s="36" t="str">
        <x:v>Nationales Qualitätsmedium</x:v>
      </x:c>
      <x:c r="F28" s="36" t="str">
        <x:v>A2</x:v>
      </x:c>
      <x:c r="G28" s="36" t="n">
        <x:v>1</x:v>
      </x:c>
      <x:c r="H28" s="36" t="str">
        <x:v>Transfers, Exklusives, Club-Insider</x:v>
      </x:c>
      <x:c r="I28" s="36" t="str">
        <x:v>Breit</x:v>
      </x:c>
      <x:c r="J28" s="36" t="str">
        <x:v>Abo</x:v>
      </x:c>
      <x:c r="K28" s="36" t="str">
        <x:v>EN</x:v>
      </x:c>
      <x:c r="L28" s="37" t="str"/>
    </x:row>
    <x:row r="29">
      <x:c r="A29" s="52" t="str">
        <x:v>England</x:v>
      </x:c>
      <x:c r="B29" s="52" t="str">
        <x:v>Premier League / Championship</x:v>
      </x:c>
      <x:c r="C29" s="52" t="str">
        <x:v>The Times Football</x:v>
      </x:c>
      <x:c r="D29" s="52" t="str">
        <x:v>https://www.thetimes.com/sport/football</x:v>
      </x:c>
      <x:c r="E29" s="52" t="str">
        <x:v>Nationales Qualitätsmedium</x:v>
      </x:c>
      <x:c r="F29" s="52" t="str">
        <x:v>A2</x:v>
      </x:c>
      <x:c r="G29" s="52" t="n">
        <x:v>1</x:v>
      </x:c>
      <x:c r="H29" s="52" t="str">
        <x:v>Exklusive Transfer- und Club-News</x:v>
      </x:c>
      <x:c r="I29" s="52" t="str">
        <x:v>Breit</x:v>
      </x:c>
      <x:c r="J29" s="52" t="str">
        <x:v>Abo</x:v>
      </x:c>
      <x:c r="K29" s="52" t="str">
        <x:v>EN</x:v>
      </x:c>
      <x:c r="L29" s="53" t="str"/>
    </x:row>
    <x:row r="30">
      <x:c r="A30" s="36" t="str">
        <x:v>England</x:v>
      </x:c>
      <x:c r="B30" s="36" t="str">
        <x:v>Alle Profiligen</x:v>
      </x:c>
      <x:c r="C30" s="36" t="str">
        <x:v>PA Media</x:v>
      </x:c>
      <x:c r="D30" s="36" t="str">
        <x:v>https://pa.media/</x:v>
      </x:c>
      <x:c r="E30" s="36" t="str">
        <x:v>Nachrichtenagentur</x:v>
      </x:c>
      <x:c r="F30" s="36" t="str">
        <x:v>A2</x:v>
      </x:c>
      <x:c r="G30" s="36" t="n">
        <x:v>1</x:v>
      </x:c>
      <x:c r="H30" s="36" t="str">
        <x:v>Bestätigte Meldungen, Zitate, Match-News</x:v>
      </x:c>
      <x:c r="I30" s="36" t="str">
        <x:v>Landesweit</x:v>
      </x:c>
      <x:c r="J30" s="36" t="str">
        <x:v>Lizenzpflichtig</x:v>
      </x:c>
      <x:c r="K30" s="36" t="str">
        <x:v>EN</x:v>
      </x:c>
      <x:c r="L30" s="37" t="str"/>
    </x:row>
    <x:row r="31">
      <x:c r="A31" s="52" t="str">
        <x:v>England</x:v>
      </x:c>
      <x:c r="B31" s="52" t="str">
        <x:v>Alle Ligen</x:v>
      </x:c>
      <x:c r="C31" s="52" t="str">
        <x:v>talkSPORT</x:v>
      </x:c>
      <x:c r="D31" s="52" t="str">
        <x:v>https://talksport.com/football/</x:v>
      </x:c>
      <x:c r="E31" s="52" t="str">
        <x:v>Radio/Digital</x:v>
      </x:c>
      <x:c r="F31" s="52" t="str">
        <x:v>B</x:v>
      </x:c>
      <x:c r="G31" s="52" t="n">
        <x:v>2</x:v>
      </x:c>
      <x:c r="H31" s="52" t="str">
        <x:v>Interviews, Gerüchte, Live-Reaktionen</x:v>
      </x:c>
      <x:c r="I31" s="52" t="str">
        <x:v>Breit</x:v>
      </x:c>
      <x:c r="J31" s="52" t="str">
        <x:v>Frei</x:v>
      </x:c>
      <x:c r="K31" s="52" t="str">
        <x:v>EN</x:v>
      </x:c>
      <x:c r="L31" s="53" t="str">
        <x:v>Gerüchte stets verifizieren</x:v>
      </x:c>
    </x:row>
    <x:row r="32">
      <x:c r="A32" s="36" t="str">
        <x:v>England</x:v>
      </x:c>
      <x:c r="B32" s="36" t="str">
        <x:v>Manchester Clubs</x:v>
      </x:c>
      <x:c r="C32" s="36" t="str">
        <x:v>Manchester Evening News</x:v>
      </x:c>
      <x:c r="D32" s="36" t="str">
        <x:v>https://www.manchestereveningnews.co.uk/sport/football/</x:v>
      </x:c>
      <x:c r="E32" s="36" t="str">
        <x:v>Lokales Beat-Medium</x:v>
      </x:c>
      <x:c r="F32" s="36" t="str">
        <x:v>A2/B</x:v>
      </x:c>
      <x:c r="G32" s="36" t="n">
        <x:v>1</x:v>
      </x:c>
      <x:c r="H32" s="36" t="str">
        <x:v>Man United/City Beat-News</x:v>
      </x:c>
      <x:c r="I32" s="36" t="str">
        <x:v>Manchester United, Manchester City</x:v>
      </x:c>
      <x:c r="J32" s="36" t="str">
        <x:v>Frei</x:v>
      </x:c>
      <x:c r="K32" s="36" t="str">
        <x:v>EN</x:v>
      </x:c>
      <x:c r="L32" s="37" t="str"/>
    </x:row>
    <x:row r="33">
      <x:c r="A33" s="52" t="str">
        <x:v>England</x:v>
      </x:c>
      <x:c r="B33" s="52" t="str">
        <x:v>Liverpool / Everton</x:v>
      </x:c>
      <x:c r="C33" s="52" t="str">
        <x:v>Liverpool Echo</x:v>
      </x:c>
      <x:c r="D33" s="52" t="str">
        <x:v>https://www.liverpoolecho.co.uk/sport/football/</x:v>
      </x:c>
      <x:c r="E33" s="52" t="str">
        <x:v>Lokales Beat-Medium</x:v>
      </x:c>
      <x:c r="F33" s="52" t="str">
        <x:v>A2/B</x:v>
      </x:c>
      <x:c r="G33" s="52" t="n">
        <x:v>1</x:v>
      </x:c>
      <x:c r="H33" s="52" t="str">
        <x:v>Liverpool/Everton-News</x:v>
      </x:c>
      <x:c r="I33" s="52" t="str">
        <x:v>Liverpool, Everton</x:v>
      </x:c>
      <x:c r="J33" s="52" t="str">
        <x:v>Frei</x:v>
      </x:c>
      <x:c r="K33" s="52" t="str">
        <x:v>EN</x:v>
      </x:c>
      <x:c r="L33" s="53" t="str"/>
    </x:row>
    <x:row r="34">
      <x:c r="A34" s="36" t="str">
        <x:v>England</x:v>
      </x:c>
      <x:c r="B34" s="36" t="str">
        <x:v>Yorkshire / Championship</x:v>
      </x:c>
      <x:c r="C34" s="36" t="str">
        <x:v>Yorkshire Evening Post</x:v>
      </x:c>
      <x:c r="D34" s="36" t="str">
        <x:v>https://www.yorkshireeveningpost.co.uk/sport/football</x:v>
      </x:c>
      <x:c r="E34" s="36" t="str">
        <x:v>Lokales Beat-Medium</x:v>
      </x:c>
      <x:c r="F34" s="36" t="str">
        <x:v>A2/B</x:v>
      </x:c>
      <x:c r="G34" s="36" t="n">
        <x:v>1</x:v>
      </x:c>
      <x:c r="H34" s="36" t="str">
        <x:v>Leeds und Yorkshire Clubs</x:v>
      </x:c>
      <x:c r="I34" s="36" t="str">
        <x:v>Regional</x:v>
      </x:c>
      <x:c r="J34" s="36" t="str">
        <x:v>Frei/Abo</x:v>
      </x:c>
      <x:c r="K34" s="36" t="str">
        <x:v>EN</x:v>
      </x:c>
      <x:c r="L34" s="37" t="str"/>
    </x:row>
    <x:row r="35">
      <x:c r="A35" s="52" t="str">
        <x:v>England</x:v>
      </x:c>
      <x:c r="B35" s="52" t="str">
        <x:v>Midlands</x:v>
      </x:c>
      <x:c r="C35" s="52" t="str">
        <x:v>Birmingham Live Football</x:v>
      </x:c>
      <x:c r="D35" s="52" t="str">
        <x:v>https://www.birminghammail.co.uk/sport/football/</x:v>
      </x:c>
      <x:c r="E35" s="52" t="str">
        <x:v>Lokales Beat-Medium</x:v>
      </x:c>
      <x:c r="F35" s="52" t="str">
        <x:v>B</x:v>
      </x:c>
      <x:c r="G35" s="52" t="n">
        <x:v>1</x:v>
      </x:c>
      <x:c r="H35" s="52" t="str">
        <x:v>Aston Villa, Birmingham, West Brom, Wolves</x:v>
      </x:c>
      <x:c r="I35" s="52" t="str">
        <x:v>Midlands</x:v>
      </x:c>
      <x:c r="J35" s="52" t="str">
        <x:v>Frei</x:v>
      </x:c>
      <x:c r="K35" s="52" t="str">
        <x:v>EN</x:v>
      </x:c>
      <x:c r="L35" s="53" t="str"/>
    </x:row>
    <x:row r="36">
      <x:c r="A36" s="36" t="str">
        <x:v>England</x:v>
      </x:c>
      <x:c r="B36" s="36" t="str">
        <x:v>Alle Clubs</x:v>
      </x:c>
      <x:c r="C36" s="36" t="str">
        <x:v>Offizielle Club-Websites und Social-Kanäle</x:v>
      </x:c>
      <x:c r="D36" s="36" t="str"/>
      <x:c r="E36" s="36" t="str">
        <x:v>Primärquelle</x:v>
      </x:c>
      <x:c r="F36" s="36" t="str">
        <x:v>A1</x:v>
      </x:c>
      <x:c r="G36" s="36" t="n">
        <x:v>1</x:v>
      </x:c>
      <x:c r="H36" s="36" t="str">
        <x:v>Bestätigungen und direkte Aussagen</x:v>
      </x:c>
      <x:c r="I36" s="36" t="str">
        <x:v>Jeder Club einzeln</x:v>
      </x:c>
      <x:c r="J36" s="36" t="str">
        <x:v>Frei</x:v>
      </x:c>
      <x:c r="K36" s="36" t="str">
        <x:v>EN</x:v>
      </x:c>
      <x:c r="L36" s="37" t="str">
        <x:v>Für jeden Club Website, Newsletter, X, Instagram, YouTube und lokale Reporter erfassen</x:v>
      </x:c>
    </x:row>
    <x:row r="37">
      <x:c r="A37" s="52" t="str">
        <x:v>Spanien</x:v>
      </x:c>
      <x:c r="B37" s="52" t="str">
        <x:v>LaLiga / LaLiga Hypermotion</x:v>
      </x:c>
      <x:c r="C37" s="52" t="str">
        <x:v>LaLiga.com</x:v>
      </x:c>
      <x:c r="D37" s="52" t="str">
        <x:v>https://www.laliga.com/</x:v>
      </x:c>
      <x:c r="E37" s="52" t="str">
        <x:v>Offizielle Liga</x:v>
      </x:c>
      <x:c r="F37" s="52" t="str">
        <x:v>A1</x:v>
      </x:c>
      <x:c r="G37" s="52" t="n">
        <x:v>1</x:v>
      </x:c>
      <x:c r="H37" s="52" t="str">
        <x:v>Offizielle News, Clubs, Stats</x:v>
      </x:c>
      <x:c r="I37" s="52" t="str">
        <x:v>1. und 2. Liga</x:v>
      </x:c>
      <x:c r="J37" s="52" t="str">
        <x:v>Frei / Lizenz prüfen</x:v>
      </x:c>
      <x:c r="K37" s="52" t="str">
        <x:v>ES/EN</x:v>
      </x:c>
      <x:c r="L37" s="53" t="str"/>
    </x:row>
    <x:row r="38">
      <x:c r="A38" s="36" t="str">
        <x:v>Spanien</x:v>
      </x:c>
      <x:c r="B38" s="36" t="str">
        <x:v>Alle Profiligen</x:v>
      </x:c>
      <x:c r="C38" s="36" t="str">
        <x:v>RFEF</x:v>
      </x:c>
      <x:c r="D38" s="36" t="str">
        <x:v>https://rfef.es/</x:v>
      </x:c>
      <x:c r="E38" s="36" t="str">
        <x:v>Offizieller Verband</x:v>
      </x:c>
      <x:c r="F38" s="36" t="str">
        <x:v>A1</x:v>
      </x:c>
      <x:c r="G38" s="36" t="n">
        <x:v>1</x:v>
      </x:c>
      <x:c r="H38" s="36" t="str">
        <x:v>Registrierungen, Wettbewerbe, Disziplin</x:v>
      </x:c>
      <x:c r="I38" s="36" t="str">
        <x:v>Spanischer Fußball</x:v>
      </x:c>
      <x:c r="J38" s="36" t="str">
        <x:v>Frei</x:v>
      </x:c>
      <x:c r="K38" s="36" t="str">
        <x:v>ES</x:v>
      </x:c>
      <x:c r="L38" s="37" t="str"/>
    </x:row>
    <x:row r="39">
      <x:c r="A39" s="52" t="str">
        <x:v>Spanien</x:v>
      </x:c>
      <x:c r="B39" s="52" t="str">
        <x:v>LaLiga</x:v>
      </x:c>
      <x:c r="C39" s="52" t="str">
        <x:v>Marca</x:v>
      </x:c>
      <x:c r="D39" s="52" t="str">
        <x:v>https://www.marca.com/futbol.html</x:v>
      </x:c>
      <x:c r="E39" s="52" t="str">
        <x:v>Nationales Sportmedium</x:v>
      </x:c>
      <x:c r="F39" s="52" t="str">
        <x:v>A2/B</x:v>
      </x:c>
      <x:c r="G39" s="52" t="n">
        <x:v>1</x:v>
      </x:c>
      <x:c r="H39" s="52" t="str">
        <x:v>Transfers, Club-News, Liveblogs</x:v>
      </x:c>
      <x:c r="I39" s="52" t="str">
        <x:v>Topligen</x:v>
      </x:c>
      <x:c r="J39" s="52" t="str">
        <x:v>Frei/Abo</x:v>
      </x:c>
      <x:c r="K39" s="52" t="str">
        <x:v>ES</x:v>
      </x:c>
      <x:c r="L39" s="53" t="str"/>
    </x:row>
    <x:row r="40">
      <x:c r="A40" s="36" t="str">
        <x:v>Spanien</x:v>
      </x:c>
      <x:c r="B40" s="36" t="str">
        <x:v>LaLiga</x:v>
      </x:c>
      <x:c r="C40" s="36" t="str">
        <x:v>AS</x:v>
      </x:c>
      <x:c r="D40" s="36" t="str">
        <x:v>https://as.com/futbol/</x:v>
      </x:c>
      <x:c r="E40" s="36" t="str">
        <x:v>Nationales Sportmedium</x:v>
      </x:c>
      <x:c r="F40" s="36" t="str">
        <x:v>A2/B</x:v>
      </x:c>
      <x:c r="G40" s="36" t="n">
        <x:v>1</x:v>
      </x:c>
      <x:c r="H40" s="36" t="str">
        <x:v>Transfers, Real/Atleti und nationale Clubs</x:v>
      </x:c>
      <x:c r="I40" s="36" t="str">
        <x:v>Breit</x:v>
      </x:c>
      <x:c r="J40" s="36" t="str">
        <x:v>Frei/Abo</x:v>
      </x:c>
      <x:c r="K40" s="36" t="str">
        <x:v>ES</x:v>
      </x:c>
      <x:c r="L40" s="37" t="str"/>
    </x:row>
    <x:row r="41">
      <x:c r="A41" s="52" t="str">
        <x:v>Spanien</x:v>
      </x:c>
      <x:c r="B41" s="52" t="str">
        <x:v>LaLiga / Segunda</x:v>
      </x:c>
      <x:c r="C41" s="52" t="str">
        <x:v>Relevo</x:v>
      </x:c>
      <x:c r="D41" s="52" t="str">
        <x:v>https://www.relevo.com/futbol/</x:v>
      </x:c>
      <x:c r="E41" s="52" t="str">
        <x:v>Digitales Fachmedium</x:v>
      </x:c>
      <x:c r="F41" s="52" t="str">
        <x:v>A2</x:v>
      </x:c>
      <x:c r="G41" s="52" t="n">
        <x:v>1</x:v>
      </x:c>
      <x:c r="H41" s="52" t="str">
        <x:v>Exklusive Transfers und Club-Insider</x:v>
      </x:c>
      <x:c r="I41" s="52" t="str">
        <x:v>Breit</x:v>
      </x:c>
      <x:c r="J41" s="52" t="str">
        <x:v>Frei/Abo</x:v>
      </x:c>
      <x:c r="K41" s="52" t="str">
        <x:v>ES</x:v>
      </x:c>
      <x:c r="L41" s="53" t="str"/>
    </x:row>
    <x:row r="42">
      <x:c r="A42" s="36" t="str">
        <x:v>Spanien</x:v>
      </x:c>
      <x:c r="B42" s="36" t="str">
        <x:v>Alle Profiligen</x:v>
      </x:c>
      <x:c r="C42" s="36" t="str">
        <x:v>Cadena SER – Carrusel/El Larguero</x:v>
      </x:c>
      <x:c r="D42" s="36" t="str">
        <x:v>https://cadenaser.com/deportes/futbol/</x:v>
      </x:c>
      <x:c r="E42" s="36" t="str">
        <x:v>Radio/Fachredaktion</x:v>
      </x:c>
      <x:c r="F42" s="36" t="str">
        <x:v>A2</x:v>
      </x:c>
      <x:c r="G42" s="36" t="n">
        <x:v>1</x:v>
      </x:c>
      <x:c r="H42" s="36" t="str">
        <x:v>Insider, Interviews, Transfer-News</x:v>
      </x:c>
      <x:c r="I42" s="36" t="str">
        <x:v>Breit</x:v>
      </x:c>
      <x:c r="J42" s="36" t="str">
        <x:v>Frei</x:v>
      </x:c>
      <x:c r="K42" s="36" t="str">
        <x:v>ES</x:v>
      </x:c>
      <x:c r="L42" s="37" t="str"/>
    </x:row>
    <x:row r="43">
      <x:c r="A43" s="52" t="str">
        <x:v>Spanien</x:v>
      </x:c>
      <x:c r="B43" s="52" t="str">
        <x:v>Alle Profiligen</x:v>
      </x:c>
      <x:c r="C43" s="52" t="str">
        <x:v>COPE – Deportes</x:v>
      </x:c>
      <x:c r="D43" s="52" t="str">
        <x:v>https://www.cope.es/deportes/futbol</x:v>
      </x:c>
      <x:c r="E43" s="52" t="str">
        <x:v>Radio/Fachredaktion</x:v>
      </x:c>
      <x:c r="F43" s="52" t="str">
        <x:v>A2</x:v>
      </x:c>
      <x:c r="G43" s="52" t="n">
        <x:v>1</x:v>
      </x:c>
      <x:c r="H43" s="52" t="str">
        <x:v>Club-Reporter und Breaking News</x:v>
      </x:c>
      <x:c r="I43" s="52" t="str">
        <x:v>Breit</x:v>
      </x:c>
      <x:c r="J43" s="52" t="str">
        <x:v>Frei</x:v>
      </x:c>
      <x:c r="K43" s="52" t="str">
        <x:v>ES</x:v>
      </x:c>
      <x:c r="L43" s="53" t="str"/>
    </x:row>
    <x:row r="44">
      <x:c r="A44" s="36" t="str">
        <x:v>Spanien</x:v>
      </x:c>
      <x:c r="B44" s="36" t="str">
        <x:v>Alle Profiligen</x:v>
      </x:c>
      <x:c r="C44" s="36" t="str">
        <x:v>Onda Cero – Radioestadio</x:v>
      </x:c>
      <x:c r="D44" s="36" t="str">
        <x:v>https://www.ondacero.es/deportes/futbol/</x:v>
      </x:c>
      <x:c r="E44" s="36" t="str">
        <x:v>Radio/Fachredaktion</x:v>
      </x:c>
      <x:c r="F44" s="36" t="str">
        <x:v>A2/B</x:v>
      </x:c>
      <x:c r="G44" s="36" t="n">
        <x:v>2</x:v>
      </x:c>
      <x:c r="H44" s="36" t="str">
        <x:v>Interviews und lokale Club-News</x:v>
      </x:c>
      <x:c r="I44" s="36" t="str">
        <x:v>Breit</x:v>
      </x:c>
      <x:c r="J44" s="36" t="str">
        <x:v>Frei</x:v>
      </x:c>
      <x:c r="K44" s="36" t="str">
        <x:v>ES</x:v>
      </x:c>
      <x:c r="L44" s="37" t="str"/>
    </x:row>
    <x:row r="45">
      <x:c r="A45" s="52" t="str">
        <x:v>Spanien</x:v>
      </x:c>
      <x:c r="B45" s="52" t="str">
        <x:v>Barcelona / Katalonien</x:v>
      </x:c>
      <x:c r="C45" s="52" t="str">
        <x:v>Mundo Deportivo</x:v>
      </x:c>
      <x:c r="D45" s="52" t="str">
        <x:v>https://www.mundodeportivo.com/futbol</x:v>
      </x:c>
      <x:c r="E45" s="52" t="str">
        <x:v>Regional/National</x:v>
      </x:c>
      <x:c r="F45" s="52" t="str">
        <x:v>B</x:v>
      </x:c>
      <x:c r="G45" s="52" t="n">
        <x:v>1</x:v>
      </x:c>
      <x:c r="H45" s="52" t="str">
        <x:v>Barcelona, Espanyol, Transfers</x:v>
      </x:c>
      <x:c r="I45" s="52" t="str">
        <x:v>Katalonien + national</x:v>
      </x:c>
      <x:c r="J45" s="52" t="str">
        <x:v>Frei/Abo</x:v>
      </x:c>
      <x:c r="K45" s="52" t="str">
        <x:v>ES</x:v>
      </x:c>
      <x:c r="L45" s="53" t="str"/>
    </x:row>
    <x:row r="46">
      <x:c r="A46" s="36" t="str">
        <x:v>Spanien</x:v>
      </x:c>
      <x:c r="B46" s="36" t="str">
        <x:v>Barcelona / Katalonien</x:v>
      </x:c>
      <x:c r="C46" s="36" t="str">
        <x:v>SPORT</x:v>
      </x:c>
      <x:c r="D46" s="36" t="str">
        <x:v>https://www.sport.es/es/</x:v>
      </x:c>
      <x:c r="E46" s="36" t="str">
        <x:v>Regional/National</x:v>
      </x:c>
      <x:c r="F46" s="36" t="str">
        <x:v>B</x:v>
      </x:c>
      <x:c r="G46" s="36" t="n">
        <x:v>1</x:v>
      </x:c>
      <x:c r="H46" s="36" t="str">
        <x:v>Barcelona-Fokus und Transfers</x:v>
      </x:c>
      <x:c r="I46" s="36" t="str">
        <x:v>Katalonien</x:v>
      </x:c>
      <x:c r="J46" s="36" t="str">
        <x:v>Frei/Abo</x:v>
      </x:c>
      <x:c r="K46" s="36" t="str">
        <x:v>ES</x:v>
      </x:c>
      <x:c r="L46" s="37" t="str"/>
    </x:row>
    <x:row r="47">
      <x:c r="A47" s="52" t="str">
        <x:v>Spanien</x:v>
      </x:c>
      <x:c r="B47" s="52" t="str">
        <x:v>Andalusien</x:v>
      </x:c>
      <x:c r="C47" s="52" t="str">
        <x:v>Estadio Deportivo</x:v>
      </x:c>
      <x:c r="D47" s="52" t="str">
        <x:v>https://www.estadiodeportivo.com/</x:v>
      </x:c>
      <x:c r="E47" s="52" t="str">
        <x:v>Regionalmedium</x:v>
      </x:c>
      <x:c r="F47" s="52" t="str">
        <x:v>B</x:v>
      </x:c>
      <x:c r="G47" s="52" t="n">
        <x:v>1</x:v>
      </x:c>
      <x:c r="H47" s="52" t="str">
        <x:v>Sevilla, Betis und Andalusien</x:v>
      </x:c>
      <x:c r="I47" s="52" t="str">
        <x:v>Regional</x:v>
      </x:c>
      <x:c r="J47" s="52" t="str">
        <x:v>Frei</x:v>
      </x:c>
      <x:c r="K47" s="52" t="str">
        <x:v>ES</x:v>
      </x:c>
      <x:c r="L47" s="53" t="str"/>
    </x:row>
    <x:row r="48">
      <x:c r="A48" s="36" t="str">
        <x:v>Spanien</x:v>
      </x:c>
      <x:c r="B48" s="36" t="str">
        <x:v>Valencia</x:v>
      </x:c>
      <x:c r="C48" s="36" t="str">
        <x:v>Superdeporte</x:v>
      </x:c>
      <x:c r="D48" s="36" t="str">
        <x:v>https://www.superdeporte.es/</x:v>
      </x:c>
      <x:c r="E48" s="36" t="str">
        <x:v>Regionalmedium</x:v>
      </x:c>
      <x:c r="F48" s="36" t="str">
        <x:v>B</x:v>
      </x:c>
      <x:c r="G48" s="36" t="n">
        <x:v>1</x:v>
      </x:c>
      <x:c r="H48" s="36" t="str">
        <x:v>Valencia, Levante, Villarreal</x:v>
      </x:c>
      <x:c r="I48" s="36" t="str">
        <x:v>Regional</x:v>
      </x:c>
      <x:c r="J48" s="36" t="str">
        <x:v>Frei/Abo</x:v>
      </x:c>
      <x:c r="K48" s="36" t="str">
        <x:v>ES</x:v>
      </x:c>
      <x:c r="L48" s="37" t="str"/>
    </x:row>
    <x:row r="49">
      <x:c r="A49" s="52" t="str">
        <x:v>Spanien</x:v>
      </x:c>
      <x:c r="B49" s="52" t="str">
        <x:v>Alle Clubs</x:v>
      </x:c>
      <x:c r="C49" s="52" t="str">
        <x:v>Offizielle Club-Websites und Social-Kanäle</x:v>
      </x:c>
      <x:c r="D49" s="52" t="str"/>
      <x:c r="E49" s="52" t="str">
        <x:v>Primärquelle</x:v>
      </x:c>
      <x:c r="F49" s="52" t="str">
        <x:v>A1</x:v>
      </x:c>
      <x:c r="G49" s="52" t="n">
        <x:v>1</x:v>
      </x:c>
      <x:c r="H49" s="52" t="str">
        <x:v>Bestätigte Transfers und Kadernews</x:v>
      </x:c>
      <x:c r="I49" s="52" t="str">
        <x:v>Jeder Club einzeln</x:v>
      </x:c>
      <x:c r="J49" s="52" t="str">
        <x:v>Frei</x:v>
      </x:c>
      <x:c r="K49" s="52" t="str">
        <x:v>ES</x:v>
      </x:c>
      <x:c r="L49" s="53" t="str">
        <x:v>Club-TV und lokale Radio-Reporter ergänzen</x:v>
      </x:c>
    </x:row>
    <x:row r="50">
      <x:c r="A50" s="36" t="str">
        <x:v>Italien</x:v>
      </x:c>
      <x:c r="B50" s="36" t="str">
        <x:v>Serie A</x:v>
      </x:c>
      <x:c r="C50" s="36" t="str">
        <x:v>Lega Serie A</x:v>
      </x:c>
      <x:c r="D50" s="36" t="str">
        <x:v>https://en.legaseriea.it/</x:v>
      </x:c>
      <x:c r="E50" s="36" t="str">
        <x:v>Offizielle Liga</x:v>
      </x:c>
      <x:c r="F50" s="36" t="str">
        <x:v>A1</x:v>
      </x:c>
      <x:c r="G50" s="36" t="n">
        <x:v>1</x:v>
      </x:c>
      <x:c r="H50" s="36" t="str">
        <x:v>Offizielle News, Clubs, Stats</x:v>
      </x:c>
      <x:c r="I50" s="36" t="str">
        <x:v>Serie A</x:v>
      </x:c>
      <x:c r="J50" s="36" t="str">
        <x:v>Frei / Lizenz prüfen</x:v>
      </x:c>
      <x:c r="K50" s="36" t="str">
        <x:v>IT/EN</x:v>
      </x:c>
      <x:c r="L50" s="37" t="str"/>
    </x:row>
    <x:row r="51">
      <x:c r="A51" s="52" t="str">
        <x:v>Italien</x:v>
      </x:c>
      <x:c r="B51" s="52" t="str">
        <x:v>Serie B</x:v>
      </x:c>
      <x:c r="C51" s="52" t="str">
        <x:v>Lega B</x:v>
      </x:c>
      <x:c r="D51" s="52" t="str">
        <x:v>https://www.legab.it/seriebkt</x:v>
      </x:c>
      <x:c r="E51" s="52" t="str">
        <x:v>Offizielle Liga</x:v>
      </x:c>
      <x:c r="F51" s="52" t="str">
        <x:v>A1</x:v>
      </x:c>
      <x:c r="G51" s="52" t="n">
        <x:v>1</x:v>
      </x:c>
      <x:c r="H51" s="52" t="str">
        <x:v>Offizielle News, Dokumente, Spielbetrieb</x:v>
      </x:c>
      <x:c r="I51" s="52" t="str">
        <x:v>Serie B</x:v>
      </x:c>
      <x:c r="J51" s="52" t="str">
        <x:v>Frei / Lizenz prüfen</x:v>
      </x:c>
      <x:c r="K51" s="52" t="str">
        <x:v>IT</x:v>
      </x:c>
      <x:c r="L51" s="53" t="str"/>
    </x:row>
    <x:row r="52">
      <x:c r="A52" s="36" t="str">
        <x:v>Italien</x:v>
      </x:c>
      <x:c r="B52" s="36" t="str">
        <x:v>Alle Profiligen</x:v>
      </x:c>
      <x:c r="C52" s="36" t="str">
        <x:v>FIGC</x:v>
      </x:c>
      <x:c r="D52" s="36" t="str">
        <x:v>https://www.figc.it/</x:v>
      </x:c>
      <x:c r="E52" s="36" t="str">
        <x:v>Offizieller Verband</x:v>
      </x:c>
      <x:c r="F52" s="36" t="str">
        <x:v>A1</x:v>
      </x:c>
      <x:c r="G52" s="36" t="n">
        <x:v>1</x:v>
      </x:c>
      <x:c r="H52" s="36" t="str">
        <x:v>Registrierung, Disziplin, Verbandsnews</x:v>
      </x:c>
      <x:c r="I52" s="36" t="str">
        <x:v>Italienischer Fußball</x:v>
      </x:c>
      <x:c r="J52" s="36" t="str">
        <x:v>Frei</x:v>
      </x:c>
      <x:c r="K52" s="36" t="str">
        <x:v>IT</x:v>
      </x:c>
      <x:c r="L52" s="37" t="str"/>
    </x:row>
    <x:row r="53">
      <x:c r="A53" s="52" t="str">
        <x:v>Italien</x:v>
      </x:c>
      <x:c r="B53" s="52" t="str">
        <x:v>Serie A / B</x:v>
      </x:c>
      <x:c r="C53" s="52" t="str">
        <x:v>Sky Sport Italia – Calciomercato</x:v>
      </x:c>
      <x:c r="D53" s="52" t="str">
        <x:v>https://sport.sky.it/calciomercato</x:v>
      </x:c>
      <x:c r="E53" s="52" t="str">
        <x:v>TV/Fachredaktion</x:v>
      </x:c>
      <x:c r="F53" s="52" t="str">
        <x:v>A2</x:v>
      </x:c>
      <x:c r="G53" s="52" t="n">
        <x:v>1</x:v>
      </x:c>
      <x:c r="H53" s="52" t="str">
        <x:v>Transfer-News und Insider</x:v>
      </x:c>
      <x:c r="I53" s="52" t="str">
        <x:v>Topligen</x:v>
      </x:c>
      <x:c r="J53" s="52" t="str">
        <x:v>Frei/Abo</x:v>
      </x:c>
      <x:c r="K53" s="52" t="str">
        <x:v>IT</x:v>
      </x:c>
      <x:c r="L53" s="53" t="str"/>
    </x:row>
    <x:row r="54">
      <x:c r="A54" s="36" t="str">
        <x:v>Italien</x:v>
      </x:c>
      <x:c r="B54" s="36" t="str">
        <x:v>Serie A / B</x:v>
      </x:c>
      <x:c r="C54" s="36" t="str">
        <x:v>GianlucaDiMarzio.com</x:v>
      </x:c>
      <x:c r="D54" s="36" t="str">
        <x:v>https://gianlucadimarzio.com/</x:v>
      </x:c>
      <x:c r="E54" s="36" t="str">
        <x:v>Transfer-Spezialmedium</x:v>
      </x:c>
      <x:c r="F54" s="36" t="str">
        <x:v>A2</x:v>
      </x:c>
      <x:c r="G54" s="36" t="n">
        <x:v>1</x:v>
      </x:c>
      <x:c r="H54" s="36" t="str">
        <x:v>Transfers, Verhandlungen, Agenteninfos</x:v>
      </x:c>
      <x:c r="I54" s="36" t="str">
        <x:v>Sehr breit</x:v>
      </x:c>
      <x:c r="J54" s="36" t="str">
        <x:v>Frei</x:v>
      </x:c>
      <x:c r="K54" s="36" t="str">
        <x:v>IT</x:v>
      </x:c>
      <x:c r="L54" s="37" t="str"/>
    </x:row>
    <x:row r="55">
      <x:c r="A55" s="52" t="str">
        <x:v>Italien</x:v>
      </x:c>
      <x:c r="B55" s="52" t="str">
        <x:v>Serie A / B</x:v>
      </x:c>
      <x:c r="C55" s="52" t="str">
        <x:v>La Gazzetta dello Sport</x:v>
      </x:c>
      <x:c r="D55" s="52" t="str">
        <x:v>https://www.gazzetta.it/Calcio/</x:v>
      </x:c>
      <x:c r="E55" s="52" t="str">
        <x:v>Nationales Sportmedium</x:v>
      </x:c>
      <x:c r="F55" s="52" t="str">
        <x:v>A2/B</x:v>
      </x:c>
      <x:c r="G55" s="52" t="n">
        <x:v>1</x:v>
      </x:c>
      <x:c r="H55" s="52" t="str">
        <x:v>Transfers, Club-News, Analysen</x:v>
      </x:c>
      <x:c r="I55" s="52" t="str">
        <x:v>Breit</x:v>
      </x:c>
      <x:c r="J55" s="52" t="str">
        <x:v>Frei/Abo</x:v>
      </x:c>
      <x:c r="K55" s="52" t="str">
        <x:v>IT</x:v>
      </x:c>
      <x:c r="L55" s="53" t="str"/>
    </x:row>
    <x:row r="56">
      <x:c r="A56" s="36" t="str">
        <x:v>Italien</x:v>
      </x:c>
      <x:c r="B56" s="36" t="str">
        <x:v>Serie A / B</x:v>
      </x:c>
      <x:c r="C56" s="36" t="str">
        <x:v>Corriere dello Sport</x:v>
      </x:c>
      <x:c r="D56" s="36" t="str">
        <x:v>https://www.corrieredellosport.it/calcio</x:v>
      </x:c>
      <x:c r="E56" s="36" t="str">
        <x:v>Nationales Sportmedium</x:v>
      </x:c>
      <x:c r="F56" s="36" t="str">
        <x:v>B</x:v>
      </x:c>
      <x:c r="G56" s="36" t="n">
        <x:v>1</x:v>
      </x:c>
      <x:c r="H56" s="36" t="str">
        <x:v>Transfers und Club-News</x:v>
      </x:c>
      <x:c r="I56" s="36" t="str">
        <x:v>Breit</x:v>
      </x:c>
      <x:c r="J56" s="36" t="str">
        <x:v>Frei/Abo</x:v>
      </x:c>
      <x:c r="K56" s="36" t="str">
        <x:v>IT</x:v>
      </x:c>
      <x:c r="L56" s="37" t="str"/>
    </x:row>
    <x:row r="57">
      <x:c r="A57" s="52" t="str">
        <x:v>Italien</x:v>
      </x:c>
      <x:c r="B57" s="52" t="str">
        <x:v>Serie A / B</x:v>
      </x:c>
      <x:c r="C57" s="52" t="str">
        <x:v>Tuttosport</x:v>
      </x:c>
      <x:c r="D57" s="52" t="str">
        <x:v>https://www.tuttosport.com/calcio</x:v>
      </x:c>
      <x:c r="E57" s="52" t="str">
        <x:v>Nationales Sportmedium</x:v>
      </x:c>
      <x:c r="F57" s="52" t="str">
        <x:v>B</x:v>
      </x:c>
      <x:c r="G57" s="52" t="n">
        <x:v>1</x:v>
      </x:c>
      <x:c r="H57" s="52" t="str">
        <x:v>Juventus/Turin, Transfers</x:v>
      </x:c>
      <x:c r="I57" s="52" t="str">
        <x:v>Breit</x:v>
      </x:c>
      <x:c r="J57" s="52" t="str">
        <x:v>Frei/Abo</x:v>
      </x:c>
      <x:c r="K57" s="52" t="str">
        <x:v>IT</x:v>
      </x:c>
      <x:c r="L57" s="53" t="str"/>
    </x:row>
    <x:row r="58">
      <x:c r="A58" s="36" t="str">
        <x:v>Italien</x:v>
      </x:c>
      <x:c r="B58" s="36" t="str">
        <x:v>Alle Profiligen</x:v>
      </x:c>
      <x:c r="C58" s="36" t="str">
        <x:v>Tuttomercatoweb</x:v>
      </x:c>
      <x:c r="D58" s="36" t="str">
        <x:v>https://www.tuttomercatoweb.com/</x:v>
      </x:c>
      <x:c r="E58" s="36" t="str">
        <x:v>Transfer-Spezialmedium</x:v>
      </x:c>
      <x:c r="F58" s="36" t="str">
        <x:v>B</x:v>
      </x:c>
      <x:c r="G58" s="36" t="n">
        <x:v>1</x:v>
      </x:c>
      <x:c r="H58" s="36" t="str">
        <x:v>Sehr hohe Transferfrequenz und Serie B/C</x:v>
      </x:c>
      <x:c r="I58" s="36" t="str">
        <x:v>Breite Ligentiefe</x:v>
      </x:c>
      <x:c r="J58" s="36" t="str">
        <x:v>Frei</x:v>
      </x:c>
      <x:c r="K58" s="36" t="str">
        <x:v>IT</x:v>
      </x:c>
      <x:c r="L58" s="37" t="str">
        <x:v>Einzelmeldungen verifizieren</x:v>
      </x:c>
    </x:row>
    <x:row r="59">
      <x:c r="A59" s="52" t="str">
        <x:v>Italien</x:v>
      </x:c>
      <x:c r="B59" s="52" t="str">
        <x:v>Serie A / B</x:v>
      </x:c>
      <x:c r="C59" s="52" t="str">
        <x:v>Calciomercato.com</x:v>
      </x:c>
      <x:c r="D59" s="52" t="str">
        <x:v>https://www.calciomercato.com/</x:v>
      </x:c>
      <x:c r="E59" s="52" t="str">
        <x:v>Transfer-Spezialmedium</x:v>
      </x:c>
      <x:c r="F59" s="52" t="str">
        <x:v>B</x:v>
      </x:c>
      <x:c r="G59" s="52" t="n">
        <x:v>1</x:v>
      </x:c>
      <x:c r="H59" s="52" t="str">
        <x:v>Transfers und Gerüchte</x:v>
      </x:c>
      <x:c r="I59" s="52" t="str">
        <x:v>Breit</x:v>
      </x:c>
      <x:c r="J59" s="52" t="str">
        <x:v>Frei</x:v>
      </x:c>
      <x:c r="K59" s="52" t="str">
        <x:v>IT</x:v>
      </x:c>
      <x:c r="L59" s="53" t="str"/>
    </x:row>
    <x:row r="60">
      <x:c r="A60" s="36" t="str">
        <x:v>Italien</x:v>
      </x:c>
      <x:c r="B60" s="36" t="str">
        <x:v>Alle Profiligen</x:v>
      </x:c>
      <x:c r="C60" s="36" t="str">
        <x:v>ANSA Sport</x:v>
      </x:c>
      <x:c r="D60" s="36" t="str">
        <x:v>https://www.ansa.it/sito/notizie/sport/calcio/calcio.shtml</x:v>
      </x:c>
      <x:c r="E60" s="36" t="str">
        <x:v>Nachrichtenagentur</x:v>
      </x:c>
      <x:c r="F60" s="36" t="str">
        <x:v>A2</x:v>
      </x:c>
      <x:c r="G60" s="36" t="n">
        <x:v>1</x:v>
      </x:c>
      <x:c r="H60" s="36" t="str">
        <x:v>Bestätigte Meldungen und Zitate</x:v>
      </x:c>
      <x:c r="I60" s="36" t="str">
        <x:v>Landesweit</x:v>
      </x:c>
      <x:c r="J60" s="36" t="str">
        <x:v>Frei/Lizenz</x:v>
      </x:c>
      <x:c r="K60" s="36" t="str">
        <x:v>IT</x:v>
      </x:c>
      <x:c r="L60" s="37" t="str"/>
    </x:row>
    <x:row r="61">
      <x:c r="A61" s="52" t="str">
        <x:v>Italien</x:v>
      </x:c>
      <x:c r="B61" s="52" t="str">
        <x:v>Alle Clubs</x:v>
      </x:c>
      <x:c r="C61" s="52" t="str">
        <x:v>Offizielle Club-Websites und Social-Kanäle</x:v>
      </x:c>
      <x:c r="D61" s="52" t="str"/>
      <x:c r="E61" s="52" t="str">
        <x:v>Primärquelle</x:v>
      </x:c>
      <x:c r="F61" s="52" t="str">
        <x:v>A1</x:v>
      </x:c>
      <x:c r="G61" s="52" t="n">
        <x:v>1</x:v>
      </x:c>
      <x:c r="H61" s="52" t="str">
        <x:v>Bestätigte Transfers und Vertragsnews</x:v>
      </x:c>
      <x:c r="I61" s="52" t="str">
        <x:v>Jeder Club einzeln</x:v>
      </x:c>
      <x:c r="J61" s="52" t="str">
        <x:v>Frei</x:v>
      </x:c>
      <x:c r="K61" s="52" t="str">
        <x:v>IT</x:v>
      </x:c>
      <x:c r="L61" s="53" t="str"/>
    </x:row>
    <x:row r="62">
      <x:c r="A62" s="36" t="str">
        <x:v>Frankreich</x:v>
      </x:c>
      <x:c r="B62" s="36" t="str">
        <x:v>Ligue 1 / Ligue 2</x:v>
      </x:c>
      <x:c r="C62" s="36" t="str">
        <x:v>Ligue1.com / LFP</x:v>
      </x:c>
      <x:c r="D62" s="36" t="str">
        <x:v>https://ligue1.com/</x:v>
      </x:c>
      <x:c r="E62" s="36" t="str">
        <x:v>Offizielle Liga</x:v>
      </x:c>
      <x:c r="F62" s="36" t="str">
        <x:v>A1</x:v>
      </x:c>
      <x:c r="G62" s="36" t="n">
        <x:v>1</x:v>
      </x:c>
      <x:c r="H62" s="36" t="str">
        <x:v>Offizielle News, Clubs, Videos</x:v>
      </x:c>
      <x:c r="I62" s="36" t="str">
        <x:v>Ligue 1 und Ligue 2</x:v>
      </x:c>
      <x:c r="J62" s="36" t="str">
        <x:v>Frei / Lizenz prüfen</x:v>
      </x:c>
      <x:c r="K62" s="36" t="str">
        <x:v>FR/EN</x:v>
      </x:c>
      <x:c r="L62" s="37" t="str"/>
    </x:row>
    <x:row r="63">
      <x:c r="A63" s="52" t="str">
        <x:v>Frankreich</x:v>
      </x:c>
      <x:c r="B63" s="52" t="str">
        <x:v>Alle Profiligen</x:v>
      </x:c>
      <x:c r="C63" s="52" t="str">
        <x:v>FFF</x:v>
      </x:c>
      <x:c r="D63" s="52" t="str">
        <x:v>https://www.fff.fr/</x:v>
      </x:c>
      <x:c r="E63" s="52" t="str">
        <x:v>Offizieller Verband</x:v>
      </x:c>
      <x:c r="F63" s="52" t="str">
        <x:v>A1</x:v>
      </x:c>
      <x:c r="G63" s="52" t="n">
        <x:v>1</x:v>
      </x:c>
      <x:c r="H63" s="52" t="str">
        <x:v>Registrierungen, National, Disziplin</x:v>
      </x:c>
      <x:c r="I63" s="52" t="str">
        <x:v>Frankreich</x:v>
      </x:c>
      <x:c r="J63" s="52" t="str">
        <x:v>Frei</x:v>
      </x:c>
      <x:c r="K63" s="52" t="str">
        <x:v>FR</x:v>
      </x:c>
      <x:c r="L63" s="53" t="str"/>
    </x:row>
    <x:row r="64">
      <x:c r="A64" s="36" t="str">
        <x:v>Frankreich</x:v>
      </x:c>
      <x:c r="B64" s="36" t="str">
        <x:v>Ligue 1 / Ligue 2</x:v>
      </x:c>
      <x:c r="C64" s="36" t="str">
        <x:v>L'Équipe</x:v>
      </x:c>
      <x:c r="D64" s="36" t="str">
        <x:v>https://www.lequipe.fr/Football/</x:v>
      </x:c>
      <x:c r="E64" s="36" t="str">
        <x:v>Nationales Qualitätsmedium</x:v>
      </x:c>
      <x:c r="F64" s="36" t="str">
        <x:v>A2</x:v>
      </x:c>
      <x:c r="G64" s="36" t="n">
        <x:v>1</x:v>
      </x:c>
      <x:c r="H64" s="36" t="str">
        <x:v>Transfers, Club-News, Exklusives</x:v>
      </x:c>
      <x:c r="I64" s="36" t="str">
        <x:v>Breit</x:v>
      </x:c>
      <x:c r="J64" s="36" t="str">
        <x:v>Abo/Frei</x:v>
      </x:c>
      <x:c r="K64" s="36" t="str">
        <x:v>FR</x:v>
      </x:c>
      <x:c r="L64" s="37" t="str"/>
    </x:row>
    <x:row r="65">
      <x:c r="A65" s="52" t="str">
        <x:v>Frankreich</x:v>
      </x:c>
      <x:c r="B65" s="52" t="str">
        <x:v>Ligue 1 / Ligue 2</x:v>
      </x:c>
      <x:c r="C65" s="52" t="str">
        <x:v>RMC Sport</x:v>
      </x:c>
      <x:c r="D65" s="52" t="str">
        <x:v>https://rmcsport.bfmtv.com/football/</x:v>
      </x:c>
      <x:c r="E65" s="52" t="str">
        <x:v>Radio/TV-Fachredaktion</x:v>
      </x:c>
      <x:c r="F65" s="52" t="str">
        <x:v>A2</x:v>
      </x:c>
      <x:c r="G65" s="52" t="n">
        <x:v>1</x:v>
      </x:c>
      <x:c r="H65" s="52" t="str">
        <x:v>Breaking News, Interviews, Mercato</x:v>
      </x:c>
      <x:c r="I65" s="52" t="str">
        <x:v>Breit</x:v>
      </x:c>
      <x:c r="J65" s="52" t="str">
        <x:v>Frei</x:v>
      </x:c>
      <x:c r="K65" s="52" t="str">
        <x:v>FR</x:v>
      </x:c>
      <x:c r="L65" s="53" t="str"/>
    </x:row>
    <x:row r="66">
      <x:c r="A66" s="36" t="str">
        <x:v>Frankreich</x:v>
      </x:c>
      <x:c r="B66" s="36" t="str">
        <x:v>Ligue 1 / Ligue 2</x:v>
      </x:c>
      <x:c r="C66" s="36" t="str">
        <x:v>Foot Mercato</x:v>
      </x:c>
      <x:c r="D66" s="36" t="str">
        <x:v>https://www.footmercato.net/</x:v>
      </x:c>
      <x:c r="E66" s="36" t="str">
        <x:v>Transfer-Spezialmedium</x:v>
      </x:c>
      <x:c r="F66" s="36" t="str">
        <x:v>B</x:v>
      </x:c>
      <x:c r="G66" s="36" t="n">
        <x:v>1</x:v>
      </x:c>
      <x:c r="H66" s="36" t="str">
        <x:v>Mercato, Gerüchte, internationale Transfers</x:v>
      </x:c>
      <x:c r="I66" s="36" t="str">
        <x:v>Breit</x:v>
      </x:c>
      <x:c r="J66" s="36" t="str">
        <x:v>Frei</x:v>
      </x:c>
      <x:c r="K66" s="36" t="str">
        <x:v>FR</x:v>
      </x:c>
      <x:c r="L66" s="37" t="str"/>
    </x:row>
    <x:row r="67">
      <x:c r="A67" s="52" t="str">
        <x:v>Frankreich</x:v>
      </x:c>
      <x:c r="B67" s="52" t="str">
        <x:v>Paris / Ligue 1</x:v>
      </x:c>
      <x:c r="C67" s="52" t="str">
        <x:v>Le Parisien Sport</x:v>
      </x:c>
      <x:c r="D67" s="52" t="str">
        <x:v>https://www.leparisien.fr/sports/football/</x:v>
      </x:c>
      <x:c r="E67" s="52" t="str">
        <x:v>Regional/National</x:v>
      </x:c>
      <x:c r="F67" s="52" t="str">
        <x:v>A2/B</x:v>
      </x:c>
      <x:c r="G67" s="52" t="n">
        <x:v>1</x:v>
      </x:c>
      <x:c r="H67" s="52" t="str">
        <x:v>PSG und Paris-Region</x:v>
      </x:c>
      <x:c r="I67" s="52" t="str">
        <x:v>Paris + national</x:v>
      </x:c>
      <x:c r="J67" s="52" t="str">
        <x:v>Abo/Frei</x:v>
      </x:c>
      <x:c r="K67" s="52" t="str">
        <x:v>FR</x:v>
      </x:c>
      <x:c r="L67" s="53" t="str"/>
    </x:row>
    <x:row r="68">
      <x:c r="A68" s="36" t="str">
        <x:v>Frankreich</x:v>
      </x:c>
      <x:c r="B68" s="36" t="str">
        <x:v>Westfrankreich</x:v>
      </x:c>
      <x:c r="C68" s="36" t="str">
        <x:v>Ouest-France Football</x:v>
      </x:c>
      <x:c r="D68" s="36" t="str">
        <x:v>https://www.ouest-france.fr/sport/football/</x:v>
      </x:c>
      <x:c r="E68" s="36" t="str">
        <x:v>Regionalmedium</x:v>
      </x:c>
      <x:c r="F68" s="36" t="str">
        <x:v>A2/B</x:v>
      </x:c>
      <x:c r="G68" s="36" t="n">
        <x:v>1</x:v>
      </x:c>
      <x:c r="H68" s="36" t="str">
        <x:v>Rennes, Nantes, Brest, Lorient, Caen u.a.</x:v>
      </x:c>
      <x:c r="I68" s="36" t="str">
        <x:v>Westen</x:v>
      </x:c>
      <x:c r="J68" s="36" t="str">
        <x:v>Abo/Frei</x:v>
      </x:c>
      <x:c r="K68" s="36" t="str">
        <x:v>FR</x:v>
      </x:c>
      <x:c r="L68" s="37" t="str"/>
    </x:row>
    <x:row r="69">
      <x:c r="A69" s="52" t="str">
        <x:v>Frankreich</x:v>
      </x:c>
      <x:c r="B69" s="52" t="str">
        <x:v>Nordfrankreich</x:v>
      </x:c>
      <x:c r="C69" s="52" t="str">
        <x:v>La Voix du Nord – Sports</x:v>
      </x:c>
      <x:c r="D69" s="52" t="str">
        <x:v>https://www.lavoixdunord.fr/sports</x:v>
      </x:c>
      <x:c r="E69" s="52" t="str">
        <x:v>Regionalmedium</x:v>
      </x:c>
      <x:c r="F69" s="52" t="str">
        <x:v>A2/B</x:v>
      </x:c>
      <x:c r="G69" s="52" t="n">
        <x:v>1</x:v>
      </x:c>
      <x:c r="H69" s="52" t="str">
        <x:v>Lille, Lens und Region</x:v>
      </x:c>
      <x:c r="I69" s="52" t="str">
        <x:v>Nord</x:v>
      </x:c>
      <x:c r="J69" s="52" t="str">
        <x:v>Abo/Frei</x:v>
      </x:c>
      <x:c r="K69" s="52" t="str">
        <x:v>FR</x:v>
      </x:c>
      <x:c r="L69" s="53" t="str"/>
    </x:row>
    <x:row r="70">
      <x:c r="A70" s="36" t="str">
        <x:v>Frankreich</x:v>
      </x:c>
      <x:c r="B70" s="36" t="str">
        <x:v>Südfrankreich</x:v>
      </x:c>
      <x:c r="C70" s="36" t="str">
        <x:v>La Provence – OM</x:v>
      </x:c>
      <x:c r="D70" s="36" t="str">
        <x:v>https://www.laprovence.com/om</x:v>
      </x:c>
      <x:c r="E70" s="36" t="str">
        <x:v>Regionalmedium</x:v>
      </x:c>
      <x:c r="F70" s="36" t="str">
        <x:v>A2/B</x:v>
      </x:c>
      <x:c r="G70" s="36" t="n">
        <x:v>1</x:v>
      </x:c>
      <x:c r="H70" s="36" t="str">
        <x:v>Olympique Marseille</x:v>
      </x:c>
      <x:c r="I70" s="36" t="str">
        <x:v>Marseille/Provence</x:v>
      </x:c>
      <x:c r="J70" s="36" t="str">
        <x:v>Abo/Frei</x:v>
      </x:c>
      <x:c r="K70" s="36" t="str">
        <x:v>FR</x:v>
      </x:c>
      <x:c r="L70" s="37" t="str"/>
    </x:row>
    <x:row r="71">
      <x:c r="A71" s="52" t="str">
        <x:v>Frankreich</x:v>
      </x:c>
      <x:c r="B71" s="52" t="str">
        <x:v>Südwesten</x:v>
      </x:c>
      <x:c r="C71" s="52" t="str">
        <x:v>Sud Ouest Sport</x:v>
      </x:c>
      <x:c r="D71" s="52" t="str">
        <x:v>https://www.sudouest.fr/sport/football/</x:v>
      </x:c>
      <x:c r="E71" s="52" t="str">
        <x:v>Regionalmedium</x:v>
      </x:c>
      <x:c r="F71" s="52" t="str">
        <x:v>B</x:v>
      </x:c>
      <x:c r="G71" s="52" t="n">
        <x:v>1</x:v>
      </x:c>
      <x:c r="H71" s="52" t="str">
        <x:v>Bordeaux und Südwesten</x:v>
      </x:c>
      <x:c r="I71" s="52" t="str">
        <x:v>Regional</x:v>
      </x:c>
      <x:c r="J71" s="52" t="str">
        <x:v>Abo/Frei</x:v>
      </x:c>
      <x:c r="K71" s="52" t="str">
        <x:v>FR</x:v>
      </x:c>
      <x:c r="L71" s="53" t="str"/>
    </x:row>
    <x:row r="72">
      <x:c r="A72" s="36" t="str">
        <x:v>Frankreich</x:v>
      </x:c>
      <x:c r="B72" s="36" t="str">
        <x:v>Alle Regionen</x:v>
      </x:c>
      <x:c r="C72" s="36" t="str">
        <x:v>ici (ex-France Bleu) Sport</x:v>
      </x:c>
      <x:c r="D72" s="36" t="str">
        <x:v>https://www.francebleu.fr/sports/football</x:v>
      </x:c>
      <x:c r="E72" s="36" t="str">
        <x:v>Regionaler Rundfunk</x:v>
      </x:c>
      <x:c r="F72" s="36" t="str">
        <x:v>A2</x:v>
      </x:c>
      <x:c r="G72" s="36" t="n">
        <x:v>1</x:v>
      </x:c>
      <x:c r="H72" s="36" t="str">
        <x:v>Lokale Club-Berichte und Interviews</x:v>
      </x:c>
      <x:c r="I72" s="36" t="str">
        <x:v>Viele Regionen</x:v>
      </x:c>
      <x:c r="J72" s="36" t="str">
        <x:v>Frei</x:v>
      </x:c>
      <x:c r="K72" s="36" t="str">
        <x:v>FR</x:v>
      </x:c>
      <x:c r="L72" s="37" t="str"/>
    </x:row>
    <x:row r="73">
      <x:c r="A73" s="52" t="str">
        <x:v>Frankreich</x:v>
      </x:c>
      <x:c r="B73" s="52" t="str">
        <x:v>Alle Clubs</x:v>
      </x:c>
      <x:c r="C73" s="52" t="str">
        <x:v>Offizielle Club-Websites und Social-Kanäle</x:v>
      </x:c>
      <x:c r="D73" s="52" t="str"/>
      <x:c r="E73" s="52" t="str">
        <x:v>Primärquelle</x:v>
      </x:c>
      <x:c r="F73" s="52" t="str">
        <x:v>A1</x:v>
      </x:c>
      <x:c r="G73" s="52" t="n">
        <x:v>1</x:v>
      </x:c>
      <x:c r="H73" s="52" t="str">
        <x:v>Bestätigungen, Pressekonferenzen, Verletzungen</x:v>
      </x:c>
      <x:c r="I73" s="52" t="str">
        <x:v>Jeder Club einzeln</x:v>
      </x:c>
      <x:c r="J73" s="52" t="str">
        <x:v>Frei</x:v>
      </x:c>
      <x:c r="K73" s="52" t="str">
        <x:v>FR</x:v>
      </x:c>
      <x:c r="L73" s="53" t="str"/>
    </x:row>
    <x:row r="74">
      <x:c r="A74" s="36" t="str">
        <x:v>Niederlande</x:v>
      </x:c>
      <x:c r="B74" s="36" t="str">
        <x:v>Eredivisie</x:v>
      </x:c>
      <x:c r="C74" s="36" t="str">
        <x:v>Eredivisie.nl</x:v>
      </x:c>
      <x:c r="D74" s="36" t="str">
        <x:v>https://eredivisie.nl/</x:v>
      </x:c>
      <x:c r="E74" s="36" t="str">
        <x:v>Offizielle Liga</x:v>
      </x:c>
      <x:c r="F74" s="36" t="str">
        <x:v>A1</x:v>
      </x:c>
      <x:c r="G74" s="36" t="n">
        <x:v>1</x:v>
      </x:c>
      <x:c r="H74" s="36" t="str">
        <x:v>Offizielle News, Clubs, Stats</x:v>
      </x:c>
      <x:c r="I74" s="36" t="str">
        <x:v>Alle Eredivisie-Clubs</x:v>
      </x:c>
      <x:c r="J74" s="36" t="str">
        <x:v>Frei / Lizenz prüfen</x:v>
      </x:c>
      <x:c r="K74" s="36" t="str">
        <x:v>NL</x:v>
      </x:c>
      <x:c r="L74" s="37" t="str"/>
    </x:row>
    <x:row r="75">
      <x:c r="A75" s="52" t="str">
        <x:v>Niederlande</x:v>
      </x:c>
      <x:c r="B75" s="52" t="str">
        <x:v>Eerste Divisie</x:v>
      </x:c>
      <x:c r="C75" s="52" t="str">
        <x:v>Keuken Kampioen Divisie</x:v>
      </x:c>
      <x:c r="D75" s="52" t="str">
        <x:v>https://keukenkampioendivisie.nl/</x:v>
      </x:c>
      <x:c r="E75" s="52" t="str">
        <x:v>Offizielle Liga</x:v>
      </x:c>
      <x:c r="F75" s="52" t="str">
        <x:v>A1</x:v>
      </x:c>
      <x:c r="G75" s="52" t="n">
        <x:v>1</x:v>
      </x:c>
      <x:c r="H75" s="52" t="str">
        <x:v>Offizielle News, Spielbetrieb</x:v>
      </x:c>
      <x:c r="I75" s="52" t="str">
        <x:v>Alle Zweitliga-Clubs</x:v>
      </x:c>
      <x:c r="J75" s="52" t="str">
        <x:v>Frei / Lizenz prüfen</x:v>
      </x:c>
      <x:c r="K75" s="52" t="str">
        <x:v>NL</x:v>
      </x:c>
      <x:c r="L75" s="53" t="str"/>
    </x:row>
    <x:row r="76">
      <x:c r="A76" s="36" t="str">
        <x:v>Niederlande</x:v>
      </x:c>
      <x:c r="B76" s="36" t="str">
        <x:v>Alle Ligen</x:v>
      </x:c>
      <x:c r="C76" s="36" t="str">
        <x:v>KNVB</x:v>
      </x:c>
      <x:c r="D76" s="36" t="str">
        <x:v>https://www.knvb.nl/</x:v>
      </x:c>
      <x:c r="E76" s="36" t="str">
        <x:v>Offizieller Verband</x:v>
      </x:c>
      <x:c r="F76" s="36" t="str">
        <x:v>A1</x:v>
      </x:c>
      <x:c r="G76" s="36" t="n">
        <x:v>1</x:v>
      </x:c>
      <x:c r="H76" s="36" t="str">
        <x:v>Registrierung, Disziplin, Verbandsnews</x:v>
      </x:c>
      <x:c r="I76" s="36" t="str">
        <x:v>Niederlande</x:v>
      </x:c>
      <x:c r="J76" s="36" t="str">
        <x:v>Frei</x:v>
      </x:c>
      <x:c r="K76" s="36" t="str">
        <x:v>NL</x:v>
      </x:c>
      <x:c r="L76" s="37" t="str"/>
    </x:row>
    <x:row r="77">
      <x:c r="A77" s="52" t="str">
        <x:v>Niederlande</x:v>
      </x:c>
      <x:c r="B77" s="52" t="str">
        <x:v>Eredivisie / KKD</x:v>
      </x:c>
      <x:c r="C77" s="52" t="str">
        <x:v>Voetbal International</x:v>
      </x:c>
      <x:c r="D77" s="52" t="str">
        <x:v>https://www.vi.nl/</x:v>
      </x:c>
      <x:c r="E77" s="52" t="str">
        <x:v>Nationales Fachmedium</x:v>
      </x:c>
      <x:c r="F77" s="52" t="str">
        <x:v>A2</x:v>
      </x:c>
      <x:c r="G77" s="52" t="n">
        <x:v>1</x:v>
      </x:c>
      <x:c r="H77" s="52" t="str">
        <x:v>Transfers, Club-Beat, Analysen</x:v>
      </x:c>
      <x:c r="I77" s="52" t="str">
        <x:v>Sehr breit</x:v>
      </x:c>
      <x:c r="J77" s="52" t="str">
        <x:v>Abo/Frei</x:v>
      </x:c>
      <x:c r="K77" s="52" t="str">
        <x:v>NL</x:v>
      </x:c>
      <x:c r="L77" s="53" t="str"/>
    </x:row>
    <x:row r="78">
      <x:c r="A78" s="36" t="str">
        <x:v>Niederlande</x:v>
      </x:c>
      <x:c r="B78" s="36" t="str">
        <x:v>Alle Profiligen</x:v>
      </x:c>
      <x:c r="C78" s="36" t="str">
        <x:v>NOS Voetbal</x:v>
      </x:c>
      <x:c r="D78" s="36" t="str">
        <x:v>https://nos.nl/sport/voetbal</x:v>
      </x:c>
      <x:c r="E78" s="36" t="str">
        <x:v>Öffentlich-rechtlich</x:v>
      </x:c>
      <x:c r="F78" s="36" t="str">
        <x:v>A2</x:v>
      </x:c>
      <x:c r="G78" s="36" t="n">
        <x:v>1</x:v>
      </x:c>
      <x:c r="H78" s="36" t="str">
        <x:v>Bestätigungen, Liveblogs, Interviews</x:v>
      </x:c>
      <x:c r="I78" s="36" t="str">
        <x:v>Breit</x:v>
      </x:c>
      <x:c r="J78" s="36" t="str">
        <x:v>Frei</x:v>
      </x:c>
      <x:c r="K78" s="36" t="str">
        <x:v>NL</x:v>
      </x:c>
      <x:c r="L78" s="37" t="str"/>
    </x:row>
    <x:row r="79">
      <x:c r="A79" s="52" t="str">
        <x:v>Niederlande</x:v>
      </x:c>
      <x:c r="B79" s="52" t="str">
        <x:v>Eredivisie / KKD</x:v>
      </x:c>
      <x:c r="C79" s="52" t="str">
        <x:v>ESPN NL Voetbal</x:v>
      </x:c>
      <x:c r="D79" s="52" t="str">
        <x:v>https://www.espn.nl/voetbal/</x:v>
      </x:c>
      <x:c r="E79" s="52" t="str">
        <x:v>TV/Fachredaktion</x:v>
      </x:c>
      <x:c r="F79" s="52" t="str">
        <x:v>A2</x:v>
      </x:c>
      <x:c r="G79" s="52" t="n">
        <x:v>1</x:v>
      </x:c>
      <x:c r="H79" s="52" t="str">
        <x:v>Transfers, Match- und Club-News</x:v>
      </x:c>
      <x:c r="I79" s="52" t="str">
        <x:v>Breit</x:v>
      </x:c>
      <x:c r="J79" s="52" t="str">
        <x:v>Frei/Abo</x:v>
      </x:c>
      <x:c r="K79" s="52" t="str">
        <x:v>NL</x:v>
      </x:c>
      <x:c r="L79" s="53" t="str"/>
    </x:row>
    <x:row r="80">
      <x:c r="A80" s="36" t="str">
        <x:v>Niederlande</x:v>
      </x:c>
      <x:c r="B80" s="36" t="str">
        <x:v>Eredivisie</x:v>
      </x:c>
      <x:c r="C80" s="36" t="str">
        <x:v>De Telegraaf – Telesport</x:v>
      </x:c>
      <x:c r="D80" s="36" t="str">
        <x:v>https://www.telegraaf.nl/sport/voetbal</x:v>
      </x:c>
      <x:c r="E80" s="36" t="str">
        <x:v>Nationales Medium</x:v>
      </x:c>
      <x:c r="F80" s="36" t="str">
        <x:v>A2/B</x:v>
      </x:c>
      <x:c r="G80" s="36" t="n">
        <x:v>1</x:v>
      </x:c>
      <x:c r="H80" s="36" t="str">
        <x:v>Exklusive Transfer- und Club-News</x:v>
      </x:c>
      <x:c r="I80" s="36" t="str">
        <x:v>Topclubs</x:v>
      </x:c>
      <x:c r="J80" s="36" t="str">
        <x:v>Abo/Frei</x:v>
      </x:c>
      <x:c r="K80" s="36" t="str">
        <x:v>NL</x:v>
      </x:c>
      <x:c r="L80" s="37" t="str"/>
    </x:row>
    <x:row r="81">
      <x:c r="A81" s="52" t="str">
        <x:v>Niederlande</x:v>
      </x:c>
      <x:c r="B81" s="52" t="str">
        <x:v>Eredivisie / KKD</x:v>
      </x:c>
      <x:c r="C81" s="52" t="str">
        <x:v>AD Voetbal</x:v>
      </x:c>
      <x:c r="D81" s="52" t="str">
        <x:v>https://www.ad.nl/nederlands-voetbal/</x:v>
      </x:c>
      <x:c r="E81" s="52" t="str">
        <x:v>National/Regional</x:v>
      </x:c>
      <x:c r="F81" s="52" t="str">
        <x:v>A2/B</x:v>
      </x:c>
      <x:c r="G81" s="52" t="n">
        <x:v>1</x:v>
      </x:c>
      <x:c r="H81" s="52" t="str">
        <x:v>Club-Reporter und Transfers</x:v>
      </x:c>
      <x:c r="I81" s="52" t="str">
        <x:v>Breit</x:v>
      </x:c>
      <x:c r="J81" s="52" t="str">
        <x:v>Abo/Frei</x:v>
      </x:c>
      <x:c r="K81" s="52" t="str">
        <x:v>NL</x:v>
      </x:c>
      <x:c r="L81" s="53" t="str"/>
    </x:row>
    <x:row r="82">
      <x:c r="A82" s="36" t="str">
        <x:v>Niederlande</x:v>
      </x:c>
      <x:c r="B82" s="36" t="str">
        <x:v>Alle Profiligen</x:v>
      </x:c>
      <x:c r="C82" s="36" t="str">
        <x:v>VoetbalPrimeur</x:v>
      </x:c>
      <x:c r="D82" s="36" t="str">
        <x:v>https://www.voetbalprimeur.nl/</x:v>
      </x:c>
      <x:c r="E82" s="36" t="str">
        <x:v>Digitales Fachmedium</x:v>
      </x:c>
      <x:c r="F82" s="36" t="str">
        <x:v>B</x:v>
      </x:c>
      <x:c r="G82" s="36" t="n">
        <x:v>1</x:v>
      </x:c>
      <x:c r="H82" s="36" t="str">
        <x:v>Transfers und schnelle News</x:v>
      </x:c>
      <x:c r="I82" s="36" t="str">
        <x:v>Breit</x:v>
      </x:c>
      <x:c r="J82" s="36" t="str">
        <x:v>Frei</x:v>
      </x:c>
      <x:c r="K82" s="36" t="str">
        <x:v>NL</x:v>
      </x:c>
      <x:c r="L82" s="37" t="str"/>
    </x:row>
    <x:row r="83">
      <x:c r="A83" s="52" t="str">
        <x:v>Niederlande</x:v>
      </x:c>
      <x:c r="B83" s="52" t="str">
        <x:v>Alle Profiligen</x:v>
      </x:c>
      <x:c r="C83" s="52" t="str">
        <x:v>FCUpdate</x:v>
      </x:c>
      <x:c r="D83" s="52" t="str">
        <x:v>https://www.fcupdate.nl/</x:v>
      </x:c>
      <x:c r="E83" s="52" t="str">
        <x:v>Digitales Fachmedium</x:v>
      </x:c>
      <x:c r="F83" s="52" t="str">
        <x:v>B</x:v>
      </x:c>
      <x:c r="G83" s="52" t="n">
        <x:v>2</x:v>
      </x:c>
      <x:c r="H83" s="52" t="str">
        <x:v>Transfers, Kader, Gerüchte</x:v>
      </x:c>
      <x:c r="I83" s="52" t="str">
        <x:v>Breit</x:v>
      </x:c>
      <x:c r="J83" s="52" t="str">
        <x:v>Frei</x:v>
      </x:c>
      <x:c r="K83" s="52" t="str">
        <x:v>NL</x:v>
      </x:c>
      <x:c r="L83" s="53" t="str"/>
    </x:row>
    <x:row r="84">
      <x:c r="A84" s="36" t="str">
        <x:v>Niederlande</x:v>
      </x:c>
      <x:c r="B84" s="36" t="str">
        <x:v>Alle Clubs</x:v>
      </x:c>
      <x:c r="C84" s="36" t="str">
        <x:v>Regionale Omroepen</x:v>
      </x:c>
      <x:c r="D84" s="36" t="str">
        <x:v>https://www.rpo.nl/</x:v>
      </x:c>
      <x:c r="E84" s="36" t="str">
        <x:v>Regionaler Rundfunk-Verbund</x:v>
      </x:c>
      <x:c r="F84" s="36" t="str">
        <x:v>A2/B</x:v>
      </x:c>
      <x:c r="G84" s="36" t="n">
        <x:v>1</x:v>
      </x:c>
      <x:c r="H84" s="36" t="str">
        <x:v>Lokale Club-Reporter</x:v>
      </x:c>
      <x:c r="I84" s="36" t="str">
        <x:v>Jede Provinz</x:v>
      </x:c>
      <x:c r="J84" s="36" t="str">
        <x:v>Frei</x:v>
      </x:c>
      <x:c r="K84" s="36" t="str">
        <x:v>NL</x:v>
      </x:c>
      <x:c r="L84" s="37" t="str">
        <x:v>Omroep Gelderland, Rijnmond, NH, Brabant u.a. clubbezogen erfassen</x:v>
      </x:c>
    </x:row>
    <x:row r="85">
      <x:c r="A85" s="52" t="str">
        <x:v>Niederlande</x:v>
      </x:c>
      <x:c r="B85" s="52" t="str">
        <x:v>Alle Clubs</x:v>
      </x:c>
      <x:c r="C85" s="52" t="str">
        <x:v>Offizielle Club-Websites und Social-Kanäle</x:v>
      </x:c>
      <x:c r="D85" s="52" t="str"/>
      <x:c r="E85" s="52" t="str">
        <x:v>Primärquelle</x:v>
      </x:c>
      <x:c r="F85" s="52" t="str">
        <x:v>A1</x:v>
      </x:c>
      <x:c r="G85" s="52" t="n">
        <x:v>1</x:v>
      </x:c>
      <x:c r="H85" s="52" t="str">
        <x:v>Bestätigungen und direkte Aussagen</x:v>
      </x:c>
      <x:c r="I85" s="52" t="str">
        <x:v>Jeder Club einzeln</x:v>
      </x:c>
      <x:c r="J85" s="52" t="str">
        <x:v>Frei</x:v>
      </x:c>
      <x:c r="K85" s="52" t="str">
        <x:v>NL</x:v>
      </x:c>
      <x:c r="L85" s="53" t="str"/>
    </x:row>
    <x:row r="86">
      <x:c r="A86" s="36" t="str">
        <x:v>Portugal</x:v>
      </x:c>
      <x:c r="B86" s="36" t="str">
        <x:v>Liga Portugal 1 / 2</x:v>
      </x:c>
      <x:c r="C86" s="36" t="str">
        <x:v>Liga Portugal</x:v>
      </x:c>
      <x:c r="D86" s="36" t="str">
        <x:v>https://www.ligaportugal.pt/</x:v>
      </x:c>
      <x:c r="E86" s="36" t="str">
        <x:v>Offizielle Liga</x:v>
      </x:c>
      <x:c r="F86" s="36" t="str">
        <x:v>A1</x:v>
      </x:c>
      <x:c r="G86" s="36" t="n">
        <x:v>1</x:v>
      </x:c>
      <x:c r="H86" s="36" t="str">
        <x:v>Offizielle News, Clubs, Dokumente</x:v>
      </x:c>
      <x:c r="I86" s="36" t="str">
        <x:v>1. und 2. Liga</x:v>
      </x:c>
      <x:c r="J86" s="36" t="str">
        <x:v>Frei / Lizenz prüfen</x:v>
      </x:c>
      <x:c r="K86" s="36" t="str">
        <x:v>PT</x:v>
      </x:c>
      <x:c r="L86" s="37" t="str"/>
    </x:row>
    <x:row r="87">
      <x:c r="A87" s="52" t="str">
        <x:v>Portugal</x:v>
      </x:c>
      <x:c r="B87" s="52" t="str">
        <x:v>Alle Ligen</x:v>
      </x:c>
      <x:c r="C87" s="52" t="str">
        <x:v>FPF</x:v>
      </x:c>
      <x:c r="D87" s="52" t="str">
        <x:v>https://www.fpf.pt/</x:v>
      </x:c>
      <x:c r="E87" s="52" t="str">
        <x:v>Offizieller Verband</x:v>
      </x:c>
      <x:c r="F87" s="52" t="str">
        <x:v>A1</x:v>
      </x:c>
      <x:c r="G87" s="52" t="n">
        <x:v>1</x:v>
      </x:c>
      <x:c r="H87" s="52" t="str">
        <x:v>Registrierung, Disziplin, Wettbewerb</x:v>
      </x:c>
      <x:c r="I87" s="52" t="str">
        <x:v>Portugal</x:v>
      </x:c>
      <x:c r="J87" s="52" t="str">
        <x:v>Frei</x:v>
      </x:c>
      <x:c r="K87" s="52" t="str">
        <x:v>PT</x:v>
      </x:c>
      <x:c r="L87" s="53" t="str"/>
    </x:row>
    <x:row r="88">
      <x:c r="A88" s="36" t="str">
        <x:v>Portugal</x:v>
      </x:c>
      <x:c r="B88" s="36" t="str">
        <x:v>Liga Portugal</x:v>
      </x:c>
      <x:c r="C88" s="36" t="str">
        <x:v>A Bola</x:v>
      </x:c>
      <x:c r="D88" s="36" t="str">
        <x:v>https://www.abola.pt/futebol</x:v>
      </x:c>
      <x:c r="E88" s="36" t="str">
        <x:v>Nationales Sportmedium</x:v>
      </x:c>
      <x:c r="F88" s="36" t="str">
        <x:v>A2/B</x:v>
      </x:c>
      <x:c r="G88" s="36" t="n">
        <x:v>1</x:v>
      </x:c>
      <x:c r="H88" s="36" t="str">
        <x:v>Transfers und Club-News</x:v>
      </x:c>
      <x:c r="I88" s="36" t="str">
        <x:v>Breit</x:v>
      </x:c>
      <x:c r="J88" s="36" t="str">
        <x:v>Frei/Abo</x:v>
      </x:c>
      <x:c r="K88" s="36" t="str">
        <x:v>PT</x:v>
      </x:c>
      <x:c r="L88" s="37" t="str"/>
    </x:row>
    <x:row r="89">
      <x:c r="A89" s="52" t="str">
        <x:v>Portugal</x:v>
      </x:c>
      <x:c r="B89" s="52" t="str">
        <x:v>Liga Portugal</x:v>
      </x:c>
      <x:c r="C89" s="52" t="str">
        <x:v>Record</x:v>
      </x:c>
      <x:c r="D89" s="52" t="str">
        <x:v>https://www.record.pt/futebol</x:v>
      </x:c>
      <x:c r="E89" s="52" t="str">
        <x:v>Nationales Sportmedium</x:v>
      </x:c>
      <x:c r="F89" s="52" t="str">
        <x:v>A2/B</x:v>
      </x:c>
      <x:c r="G89" s="52" t="n">
        <x:v>1</x:v>
      </x:c>
      <x:c r="H89" s="52" t="str">
        <x:v>Transfers und Exklusives</x:v>
      </x:c>
      <x:c r="I89" s="52" t="str">
        <x:v>Breit</x:v>
      </x:c>
      <x:c r="J89" s="52" t="str">
        <x:v>Abo/Frei</x:v>
      </x:c>
      <x:c r="K89" s="52" t="str">
        <x:v>PT</x:v>
      </x:c>
      <x:c r="L89" s="53" t="str"/>
    </x:row>
    <x:row r="90">
      <x:c r="A90" s="36" t="str">
        <x:v>Portugal</x:v>
      </x:c>
      <x:c r="B90" s="36" t="str">
        <x:v>Liga Portugal</x:v>
      </x:c>
      <x:c r="C90" s="36" t="str">
        <x:v>O Jogo</x:v>
      </x:c>
      <x:c r="D90" s="36" t="str">
        <x:v>https://www.ojogo.pt/futebol/</x:v>
      </x:c>
      <x:c r="E90" s="36" t="str">
        <x:v>Nationales Sportmedium</x:v>
      </x:c>
      <x:c r="F90" s="36" t="str">
        <x:v>A2/B</x:v>
      </x:c>
      <x:c r="G90" s="36" t="n">
        <x:v>1</x:v>
      </x:c>
      <x:c r="H90" s="36" t="str">
        <x:v>Porto/Norden und nationale Transfers</x:v>
      </x:c>
      <x:c r="I90" s="36" t="str">
        <x:v>Breit</x:v>
      </x:c>
      <x:c r="J90" s="36" t="str">
        <x:v>Abo/Frei</x:v>
      </x:c>
      <x:c r="K90" s="36" t="str">
        <x:v>PT</x:v>
      </x:c>
      <x:c r="L90" s="37" t="str"/>
    </x:row>
    <x:row r="91">
      <x:c r="A91" s="52" t="str">
        <x:v>Portugal</x:v>
      </x:c>
      <x:c r="B91" s="52" t="str">
        <x:v>Liga Portugal</x:v>
      </x:c>
      <x:c r="C91" s="52" t="str">
        <x:v>Maisfutebol</x:v>
      </x:c>
      <x:c r="D91" s="52" t="str">
        <x:v>https://maisfutebol.iol.pt/</x:v>
      </x:c>
      <x:c r="E91" s="52" t="str">
        <x:v>Digital/TV</x:v>
      </x:c>
      <x:c r="F91" s="52" t="str">
        <x:v>A2/B</x:v>
      </x:c>
      <x:c r="G91" s="52" t="n">
        <x:v>1</x:v>
      </x:c>
      <x:c r="H91" s="52" t="str">
        <x:v>Transfers, Interviews, Club-News</x:v>
      </x:c>
      <x:c r="I91" s="52" t="str">
        <x:v>Breit</x:v>
      </x:c>
      <x:c r="J91" s="52" t="str">
        <x:v>Frei</x:v>
      </x:c>
      <x:c r="K91" s="52" t="str">
        <x:v>PT</x:v>
      </x:c>
      <x:c r="L91" s="53" t="str"/>
    </x:row>
    <x:row r="92">
      <x:c r="A92" s="36" t="str">
        <x:v>Portugal</x:v>
      </x:c>
      <x:c r="B92" s="36" t="str">
        <x:v>Alle Profiligen</x:v>
      </x:c>
      <x:c r="C92" s="36" t="str">
        <x:v>RTP Desporto</x:v>
      </x:c>
      <x:c r="D92" s="36" t="str">
        <x:v>https://www.rtp.pt/noticias/desporto</x:v>
      </x:c>
      <x:c r="E92" s="36" t="str">
        <x:v>Öffentlich-rechtlich</x:v>
      </x:c>
      <x:c r="F92" s="36" t="str">
        <x:v>A2</x:v>
      </x:c>
      <x:c r="G92" s="36" t="n">
        <x:v>1</x:v>
      </x:c>
      <x:c r="H92" s="36" t="str">
        <x:v>Bestätigte News und Interviews</x:v>
      </x:c>
      <x:c r="I92" s="36" t="str">
        <x:v>Breit</x:v>
      </x:c>
      <x:c r="J92" s="36" t="str">
        <x:v>Frei</x:v>
      </x:c>
      <x:c r="K92" s="36" t="str">
        <x:v>PT</x:v>
      </x:c>
      <x:c r="L92" s="37" t="str"/>
    </x:row>
    <x:row r="93">
      <x:c r="A93" s="52" t="str">
        <x:v>Portugal</x:v>
      </x:c>
      <x:c r="B93" s="52" t="str">
        <x:v>Alle Profiligen</x:v>
      </x:c>
      <x:c r="C93" s="52" t="str">
        <x:v>Lusa</x:v>
      </x:c>
      <x:c r="D93" s="52" t="str">
        <x:v>https://www.lusa.pt/</x:v>
      </x:c>
      <x:c r="E93" s="52" t="str">
        <x:v>Nachrichtenagentur</x:v>
      </x:c>
      <x:c r="F93" s="52" t="str">
        <x:v>A2</x:v>
      </x:c>
      <x:c r="G93" s="52" t="n">
        <x:v>1</x:v>
      </x:c>
      <x:c r="H93" s="52" t="str">
        <x:v>Bestätigte Meldungen</x:v>
      </x:c>
      <x:c r="I93" s="52" t="str">
        <x:v>Landesweit</x:v>
      </x:c>
      <x:c r="J93" s="52" t="str">
        <x:v>Lizenzpflichtig</x:v>
      </x:c>
      <x:c r="K93" s="52" t="str">
        <x:v>PT</x:v>
      </x:c>
      <x:c r="L93" s="53" t="str"/>
    </x:row>
    <x:row r="94">
      <x:c r="A94" s="36" t="str">
        <x:v>Portugal</x:v>
      </x:c>
      <x:c r="B94" s="36" t="str">
        <x:v>Alle Clubs</x:v>
      </x:c>
      <x:c r="C94" s="36" t="str">
        <x:v>Club-TV und offizielle Club-Kanäle</x:v>
      </x:c>
      <x:c r="D94" s="36" t="str"/>
      <x:c r="E94" s="36" t="str">
        <x:v>Primärquelle</x:v>
      </x:c>
      <x:c r="F94" s="36" t="str">
        <x:v>A1</x:v>
      </x:c>
      <x:c r="G94" s="36" t="n">
        <x:v>1</x:v>
      </x:c>
      <x:c r="H94" s="36" t="str">
        <x:v>Pressekonferenzen, Transfers, Vertragsnews</x:v>
      </x:c>
      <x:c r="I94" s="36" t="str">
        <x:v>Jeder Club einzeln</x:v>
      </x:c>
      <x:c r="J94" s="36" t="str">
        <x:v>Frei/Abo</x:v>
      </x:c>
      <x:c r="K94" s="36" t="str">
        <x:v>PT</x:v>
      </x:c>
      <x:c r="L94" s="37" t="str">
        <x:v>Benfica TV, Sporting TV, Porto Canal und Club-Newsletter erfassen</x:v>
      </x:c>
    </x:row>
    <x:row r="95">
      <x:c r="A95" s="52" t="str">
        <x:v>Portugal</x:v>
      </x:c>
      <x:c r="B95" s="52" t="str">
        <x:v>Regionale Clubs</x:v>
      </x:c>
      <x:c r="C95" s="52" t="str">
        <x:v>Regionale Tageszeitungen und Radios</x:v>
      </x:c>
      <x:c r="D95" s="52" t="str"/>
      <x:c r="E95" s="52" t="str">
        <x:v>Regionalmedium</x:v>
      </x:c>
      <x:c r="F95" s="52" t="str">
        <x:v>B</x:v>
      </x:c>
      <x:c r="G95" s="52" t="n">
        <x:v>1</x:v>
      </x:c>
      <x:c r="H95" s="52" t="str">
        <x:v>Lokale Insider und Club-News</x:v>
      </x:c>
      <x:c r="I95" s="52" t="str">
        <x:v>Clubbezogen</x:v>
      </x:c>
      <x:c r="J95" s="52" t="str">
        <x:v>Frei/Abo</x:v>
      </x:c>
      <x:c r="K95" s="52" t="str">
        <x:v>PT</x:v>
      </x:c>
      <x:c r="L95" s="53" t="str"/>
    </x:row>
    <x:row r="96">
      <x:c r="A96" s="36" t="str">
        <x:v>Belgien</x:v>
      </x:c>
      <x:c r="B96" s="36" t="str">
        <x:v>Jupiler Pro League / Challenger</x:v>
      </x:c>
      <x:c r="C96" s="36" t="str">
        <x:v>Pro League</x:v>
      </x:c>
      <x:c r="D96" s="36" t="str">
        <x:v>https://www.proleague.be/</x:v>
      </x:c>
      <x:c r="E96" s="36" t="str">
        <x:v>Offizielle Liga</x:v>
      </x:c>
      <x:c r="F96" s="36" t="str">
        <x:v>A1</x:v>
      </x:c>
      <x:c r="G96" s="36" t="n">
        <x:v>1</x:v>
      </x:c>
      <x:c r="H96" s="36" t="str">
        <x:v>Offizielle News, Clubs, Spielbetrieb</x:v>
      </x:c>
      <x:c r="I96" s="36" t="str">
        <x:v>1. und 2. Liga</x:v>
      </x:c>
      <x:c r="J96" s="36" t="str">
        <x:v>Frei / Lizenz prüfen</x:v>
      </x:c>
      <x:c r="K96" s="36" t="str">
        <x:v>NL/FR</x:v>
      </x:c>
      <x:c r="L96" s="37" t="str"/>
    </x:row>
    <x:row r="97">
      <x:c r="A97" s="52" t="str">
        <x:v>Belgien</x:v>
      </x:c>
      <x:c r="B97" s="52" t="str">
        <x:v>Alle Ligen</x:v>
      </x:c>
      <x:c r="C97" s="52" t="str">
        <x:v>RBFA</x:v>
      </x:c>
      <x:c r="D97" s="52" t="str">
        <x:v>https://www.rbfa.be/</x:v>
      </x:c>
      <x:c r="E97" s="52" t="str">
        <x:v>Offizieller Verband</x:v>
      </x:c>
      <x:c r="F97" s="52" t="str">
        <x:v>A1</x:v>
      </x:c>
      <x:c r="G97" s="52" t="n">
        <x:v>1</x:v>
      </x:c>
      <x:c r="H97" s="52" t="str">
        <x:v>Registrierung, Disziplin, Verbandsnews</x:v>
      </x:c>
      <x:c r="I97" s="52" t="str">
        <x:v>Belgien</x:v>
      </x:c>
      <x:c r="J97" s="52" t="str">
        <x:v>Frei</x:v>
      </x:c>
      <x:c r="K97" s="52" t="str">
        <x:v>NL/FR</x:v>
      </x:c>
      <x:c r="L97" s="53" t="str"/>
    </x:row>
    <x:row r="98">
      <x:c r="A98" s="36" t="str">
        <x:v>Belgien</x:v>
      </x:c>
      <x:c r="B98" s="36" t="str">
        <x:v>Alle Profiligen</x:v>
      </x:c>
      <x:c r="C98" s="36" t="str">
        <x:v>Sporza Voetbal</x:v>
      </x:c>
      <x:c r="D98" s="36" t="str">
        <x:v>https://sporza.be/nl/categorie/voetbal/</x:v>
      </x:c>
      <x:c r="E98" s="36" t="str">
        <x:v>Öffentlich-rechtlich</x:v>
      </x:c>
      <x:c r="F98" s="36" t="str">
        <x:v>A2</x:v>
      </x:c>
      <x:c r="G98" s="36" t="n">
        <x:v>1</x:v>
      </x:c>
      <x:c r="H98" s="36" t="str">
        <x:v>Bestätigungen, Liveblogs, Interviews</x:v>
      </x:c>
      <x:c r="I98" s="36" t="str">
        <x:v>Breit</x:v>
      </x:c>
      <x:c r="J98" s="36" t="str">
        <x:v>Frei</x:v>
      </x:c>
      <x:c r="K98" s="36" t="str">
        <x:v>NL</x:v>
      </x:c>
      <x:c r="L98" s="37" t="str"/>
    </x:row>
    <x:row r="99">
      <x:c r="A99" s="52" t="str">
        <x:v>Belgien</x:v>
      </x:c>
      <x:c r="B99" s="52" t="str">
        <x:v>Alle Profiligen</x:v>
      </x:c>
      <x:c r="C99" s="52" t="str">
        <x:v>RTBF Sport Football</x:v>
      </x:c>
      <x:c r="D99" s="52" t="str">
        <x:v>https://www.rtbf.be/sport/football</x:v>
      </x:c>
      <x:c r="E99" s="52" t="str">
        <x:v>Öffentlich-rechtlich</x:v>
      </x:c>
      <x:c r="F99" s="52" t="str">
        <x:v>A2</x:v>
      </x:c>
      <x:c r="G99" s="52" t="n">
        <x:v>1</x:v>
      </x:c>
      <x:c r="H99" s="52" t="str">
        <x:v>Französischsprachige Club-News</x:v>
      </x:c>
      <x:c r="I99" s="52" t="str">
        <x:v>Wallonie/Brüssel</x:v>
      </x:c>
      <x:c r="J99" s="52" t="str">
        <x:v>Frei</x:v>
      </x:c>
      <x:c r="K99" s="52" t="str">
        <x:v>FR</x:v>
      </x:c>
      <x:c r="L99" s="53" t="str"/>
    </x:row>
    <x:row r="100">
      <x:c r="A100" s="36" t="str">
        <x:v>Belgien</x:v>
      </x:c>
      <x:c r="B100" s="36" t="str">
        <x:v>Pro League</x:v>
      </x:c>
      <x:c r="C100" s="36" t="str">
        <x:v>Het Laatste Nieuws – Voetbal</x:v>
      </x:c>
      <x:c r="D100" s="36" t="str">
        <x:v>https://www.hln.be/voetbal/</x:v>
      </x:c>
      <x:c r="E100" s="36" t="str">
        <x:v>Nationales Medium</x:v>
      </x:c>
      <x:c r="F100" s="36" t="str">
        <x:v>A2/B</x:v>
      </x:c>
      <x:c r="G100" s="36" t="n">
        <x:v>1</x:v>
      </x:c>
      <x:c r="H100" s="36" t="str">
        <x:v>Transfers und Club-Reporter</x:v>
      </x:c>
      <x:c r="I100" s="36" t="str">
        <x:v>Flandern + national</x:v>
      </x:c>
      <x:c r="J100" s="36" t="str">
        <x:v>Abo/Frei</x:v>
      </x:c>
      <x:c r="K100" s="36" t="str">
        <x:v>NL</x:v>
      </x:c>
      <x:c r="L100" s="37" t="str"/>
    </x:row>
    <x:row r="101">
      <x:c r="A101" s="52" t="str">
        <x:v>Belgien</x:v>
      </x:c>
      <x:c r="B101" s="52" t="str">
        <x:v>Pro League</x:v>
      </x:c>
      <x:c r="C101" s="52" t="str">
        <x:v>Het Nieuwsblad – Voetbal</x:v>
      </x:c>
      <x:c r="D101" s="52" t="str">
        <x:v>https://www.nieuwsblad.be/sportwereld/voetbal</x:v>
      </x:c>
      <x:c r="E101" s="52" t="str">
        <x:v>National/Regional</x:v>
      </x:c>
      <x:c r="F101" s="52" t="str">
        <x:v>A2/B</x:v>
      </x:c>
      <x:c r="G101" s="52" t="n">
        <x:v>1</x:v>
      </x:c>
      <x:c r="H101" s="52" t="str">
        <x:v>Club-Reporter und Transfers</x:v>
      </x:c>
      <x:c r="I101" s="52" t="str">
        <x:v>Breit</x:v>
      </x:c>
      <x:c r="J101" s="52" t="str">
        <x:v>Abo/Frei</x:v>
      </x:c>
      <x:c r="K101" s="52" t="str">
        <x:v>NL</x:v>
      </x:c>
      <x:c r="L101" s="53" t="str"/>
    </x:row>
    <x:row r="102">
      <x:c r="A102" s="36" t="str">
        <x:v>Belgien</x:v>
      </x:c>
      <x:c r="B102" s="36" t="str">
        <x:v>Pro League</x:v>
      </x:c>
      <x:c r="C102" s="36" t="str">
        <x:v>La Dernière Heure / Les Sports+</x:v>
      </x:c>
      <x:c r="D102" s="36" t="str">
        <x:v>https://www.dhnet.be/sports/football/</x:v>
      </x:c>
      <x:c r="E102" s="36" t="str">
        <x:v>National/Regional</x:v>
      </x:c>
      <x:c r="F102" s="36" t="str">
        <x:v>A2/B</x:v>
      </x:c>
      <x:c r="G102" s="36" t="n">
        <x:v>1</x:v>
      </x:c>
      <x:c r="H102" s="36" t="str">
        <x:v>Wallonische Clubs, Transfers</x:v>
      </x:c>
      <x:c r="I102" s="36" t="str">
        <x:v>FR-Belgien</x:v>
      </x:c>
      <x:c r="J102" s="36" t="str">
        <x:v>Abo/Frei</x:v>
      </x:c>
      <x:c r="K102" s="36" t="str">
        <x:v>FR</x:v>
      </x:c>
      <x:c r="L102" s="37" t="str"/>
    </x:row>
    <x:row r="103">
      <x:c r="A103" s="52" t="str">
        <x:v>Belgien</x:v>
      </x:c>
      <x:c r="B103" s="52" t="str">
        <x:v>Alle Profiligen</x:v>
      </x:c>
      <x:c r="C103" s="52" t="str">
        <x:v>Walfoot</x:v>
      </x:c>
      <x:c r="D103" s="52" t="str">
        <x:v>https://www.walfoot.be/</x:v>
      </x:c>
      <x:c r="E103" s="52" t="str">
        <x:v>Digitales Fachmedium</x:v>
      </x:c>
      <x:c r="F103" s="52" t="str">
        <x:v>B</x:v>
      </x:c>
      <x:c r="G103" s="52" t="n">
        <x:v>1</x:v>
      </x:c>
      <x:c r="H103" s="52" t="str">
        <x:v>Transfers und Club-News</x:v>
      </x:c>
      <x:c r="I103" s="52" t="str">
        <x:v>Breit</x:v>
      </x:c>
      <x:c r="J103" s="52" t="str">
        <x:v>Frei</x:v>
      </x:c>
      <x:c r="K103" s="52" t="str">
        <x:v>FR</x:v>
      </x:c>
      <x:c r="L103" s="53" t="str"/>
    </x:row>
    <x:row r="104">
      <x:c r="A104" s="36" t="str">
        <x:v>Belgien</x:v>
      </x:c>
      <x:c r="B104" s="36" t="str">
        <x:v>Alle Profiligen</x:v>
      </x:c>
      <x:c r="C104" s="36" t="str">
        <x:v>Voetbalkrant</x:v>
      </x:c>
      <x:c r="D104" s="36" t="str">
        <x:v>https://www.voetbalkrant.com/</x:v>
      </x:c>
      <x:c r="E104" s="36" t="str">
        <x:v>Digitales Fachmedium</x:v>
      </x:c>
      <x:c r="F104" s="36" t="str">
        <x:v>B</x:v>
      </x:c>
      <x:c r="G104" s="36" t="n">
        <x:v>1</x:v>
      </x:c>
      <x:c r="H104" s="36" t="str">
        <x:v>Transfers und schnelle News</x:v>
      </x:c>
      <x:c r="I104" s="36" t="str">
        <x:v>Breit</x:v>
      </x:c>
      <x:c r="J104" s="36" t="str">
        <x:v>Frei</x:v>
      </x:c>
      <x:c r="K104" s="36" t="str">
        <x:v>NL</x:v>
      </x:c>
      <x:c r="L104" s="37" t="str"/>
    </x:row>
    <x:row r="105">
      <x:c r="A105" s="52" t="str">
        <x:v>Belgien</x:v>
      </x:c>
      <x:c r="B105" s="52" t="str">
        <x:v>Alle Clubs</x:v>
      </x:c>
      <x:c r="C105" s="52" t="str">
        <x:v>Offizielle Club-Websites und Social-Kanäle</x:v>
      </x:c>
      <x:c r="D105" s="52" t="str"/>
      <x:c r="E105" s="52" t="str">
        <x:v>Primärquelle</x:v>
      </x:c>
      <x:c r="F105" s="52" t="str">
        <x:v>A1</x:v>
      </x:c>
      <x:c r="G105" s="52" t="n">
        <x:v>1</x:v>
      </x:c>
      <x:c r="H105" s="52" t="str">
        <x:v>Bestätigungen und Club-News</x:v>
      </x:c>
      <x:c r="I105" s="52" t="str">
        <x:v>Jeder Club einzeln</x:v>
      </x:c>
      <x:c r="J105" s="52" t="str">
        <x:v>Frei</x:v>
      </x:c>
      <x:c r="K105" s="52" t="str">
        <x:v>NL/FR</x:v>
      </x:c>
      <x:c r="L105" s="53" t="str"/>
    </x:row>
    <x:row r="106">
      <x:c r="A106" s="36" t="str">
        <x:v>Österreich</x:v>
      </x:c>
      <x:c r="B106" s="36" t="str">
        <x:v>Bundesliga</x:v>
      </x:c>
      <x:c r="C106" s="36" t="str">
        <x:v>Österreichische Bundesliga</x:v>
      </x:c>
      <x:c r="D106" s="36" t="str">
        <x:v>https://www.bundesliga.at/</x:v>
      </x:c>
      <x:c r="E106" s="36" t="str">
        <x:v>Offizielle Liga</x:v>
      </x:c>
      <x:c r="F106" s="36" t="str">
        <x:v>A1</x:v>
      </x:c>
      <x:c r="G106" s="36" t="n">
        <x:v>1</x:v>
      </x:c>
      <x:c r="H106" s="36" t="str">
        <x:v>Offizielle News, Clubs, Stats</x:v>
      </x:c>
      <x:c r="I106" s="36" t="str">
        <x:v>Bundesliga</x:v>
      </x:c>
      <x:c r="J106" s="36" t="str">
        <x:v>Frei / Lizenz prüfen</x:v>
      </x:c>
      <x:c r="K106" s="36" t="str">
        <x:v>DE</x:v>
      </x:c>
      <x:c r="L106" s="37" t="str"/>
    </x:row>
    <x:row r="107">
      <x:c r="A107" s="52" t="str">
        <x:v>Österreich</x:v>
      </x:c>
      <x:c r="B107" s="52" t="str">
        <x:v>2. Liga</x:v>
      </x:c>
      <x:c r="C107" s="52" t="str">
        <x:v>2Liga.at</x:v>
      </x:c>
      <x:c r="D107" s="52" t="str">
        <x:v>https://www.2liga.at/</x:v>
      </x:c>
      <x:c r="E107" s="52" t="str">
        <x:v>Offizielle Liga</x:v>
      </x:c>
      <x:c r="F107" s="52" t="str">
        <x:v>A1</x:v>
      </x:c>
      <x:c r="G107" s="52" t="n">
        <x:v>1</x:v>
      </x:c>
      <x:c r="H107" s="52" t="str">
        <x:v>Offizielle News, Clubs, Spielbetrieb</x:v>
      </x:c>
      <x:c r="I107" s="52" t="str">
        <x:v>2. Liga</x:v>
      </x:c>
      <x:c r="J107" s="52" t="str">
        <x:v>Frei / Lizenz prüfen</x:v>
      </x:c>
      <x:c r="K107" s="52" t="str">
        <x:v>DE</x:v>
      </x:c>
      <x:c r="L107" s="53" t="str"/>
    </x:row>
    <x:row r="108">
      <x:c r="A108" s="36" t="str">
        <x:v>Österreich</x:v>
      </x:c>
      <x:c r="B108" s="36" t="str">
        <x:v>Alle Ligen</x:v>
      </x:c>
      <x:c r="C108" s="36" t="str">
        <x:v>ÖFB</x:v>
      </x:c>
      <x:c r="D108" s="36" t="str">
        <x:v>https://www.oefb.at/</x:v>
      </x:c>
      <x:c r="E108" s="36" t="str">
        <x:v>Offizieller Verband</x:v>
      </x:c>
      <x:c r="F108" s="36" t="str">
        <x:v>A1</x:v>
      </x:c>
      <x:c r="G108" s="36" t="n">
        <x:v>1</x:v>
      </x:c>
      <x:c r="H108" s="36" t="str">
        <x:v>Registrierungen, Disziplin, Verbandsnews</x:v>
      </x:c>
      <x:c r="I108" s="36" t="str">
        <x:v>Österreich</x:v>
      </x:c>
      <x:c r="J108" s="36" t="str">
        <x:v>Frei</x:v>
      </x:c>
      <x:c r="K108" s="36" t="str">
        <x:v>DE</x:v>
      </x:c>
      <x:c r="L108" s="37" t="str"/>
    </x:row>
    <x:row r="109">
      <x:c r="A109" s="52" t="str">
        <x:v>Österreich</x:v>
      </x:c>
      <x:c r="B109" s="52" t="str">
        <x:v>Bundesliga / 2. Liga</x:v>
      </x:c>
      <x:c r="C109" s="52" t="str">
        <x:v>ORF Sport Fußball</x:v>
      </x:c>
      <x:c r="D109" s="52" t="str">
        <x:v>https://sport.orf.at/fussball/</x:v>
      </x:c>
      <x:c r="E109" s="52" t="str">
        <x:v>Öffentlich-rechtlich</x:v>
      </x:c>
      <x:c r="F109" s="52" t="str">
        <x:v>A2</x:v>
      </x:c>
      <x:c r="G109" s="52" t="n">
        <x:v>1</x:v>
      </x:c>
      <x:c r="H109" s="52" t="str">
        <x:v>Bestätigte News und Interviews</x:v>
      </x:c>
      <x:c r="I109" s="52" t="str">
        <x:v>Breit</x:v>
      </x:c>
      <x:c r="J109" s="52" t="str">
        <x:v>Frei</x:v>
      </x:c>
      <x:c r="K109" s="52" t="str">
        <x:v>DE</x:v>
      </x:c>
      <x:c r="L109" s="53" t="str"/>
    </x:row>
    <x:row r="110">
      <x:c r="A110" s="36" t="str">
        <x:v>Österreich</x:v>
      </x:c>
      <x:c r="B110" s="36" t="str">
        <x:v>Bundesliga</x:v>
      </x:c>
      <x:c r="C110" s="36" t="str">
        <x:v>Sky Sport Austria</x:v>
      </x:c>
      <x:c r="D110" s="36" t="str">
        <x:v>https://www.skysportaustria.at/fussball/</x:v>
      </x:c>
      <x:c r="E110" s="36" t="str">
        <x:v>TV/Fachredaktion</x:v>
      </x:c>
      <x:c r="F110" s="36" t="str">
        <x:v>A2</x:v>
      </x:c>
      <x:c r="G110" s="36" t="n">
        <x:v>1</x:v>
      </x:c>
      <x:c r="H110" s="36" t="str">
        <x:v>Transfers, Interviews, Breaking News</x:v>
      </x:c>
      <x:c r="I110" s="36" t="str">
        <x:v>Bundesliga</x:v>
      </x:c>
      <x:c r="J110" s="36" t="str">
        <x:v>Frei/Abo</x:v>
      </x:c>
      <x:c r="K110" s="36" t="str">
        <x:v>DE</x:v>
      </x:c>
      <x:c r="L110" s="37" t="str"/>
    </x:row>
    <x:row r="111">
      <x:c r="A111" s="52" t="str">
        <x:v>Österreich</x:v>
      </x:c>
      <x:c r="B111" s="52" t="str">
        <x:v>Bundesliga / 2. Liga</x:v>
      </x:c>
      <x:c r="C111" s="52" t="str">
        <x:v>LAOLA1</x:v>
      </x:c>
      <x:c r="D111" s="52" t="str">
        <x:v>https://www.laola1.at/de/fussball/</x:v>
      </x:c>
      <x:c r="E111" s="52" t="str">
        <x:v>Digitales Sportmedium</x:v>
      </x:c>
      <x:c r="F111" s="52" t="str">
        <x:v>A2/B</x:v>
      </x:c>
      <x:c r="G111" s="52" t="n">
        <x:v>1</x:v>
      </x:c>
      <x:c r="H111" s="52" t="str">
        <x:v>Transfers, Club-News, Liveberichte</x:v>
      </x:c>
      <x:c r="I111" s="52" t="str">
        <x:v>Breit</x:v>
      </x:c>
      <x:c r="J111" s="52" t="str">
        <x:v>Frei</x:v>
      </x:c>
      <x:c r="K111" s="52" t="str">
        <x:v>DE</x:v>
      </x:c>
      <x:c r="L111" s="53" t="str"/>
    </x:row>
    <x:row r="112">
      <x:c r="A112" s="36" t="str">
        <x:v>Österreich</x:v>
      </x:c>
      <x:c r="B112" s="36" t="str">
        <x:v>Alle Ligen</x:v>
      </x:c>
      <x:c r="C112" s="36" t="str">
        <x:v>90minuten</x:v>
      </x:c>
      <x:c r="D112" s="36" t="str">
        <x:v>https://www.90minuten.at/de/</x:v>
      </x:c>
      <x:c r="E112" s="36" t="str">
        <x:v>Fachmedium</x:v>
      </x:c>
      <x:c r="F112" s="36" t="str">
        <x:v>B</x:v>
      </x:c>
      <x:c r="G112" s="36" t="n">
        <x:v>1</x:v>
      </x:c>
      <x:c r="H112" s="36" t="str">
        <x:v>Hintergründe, Transfers, 2. Liga</x:v>
      </x:c>
      <x:c r="I112" s="36" t="str">
        <x:v>Breit</x:v>
      </x:c>
      <x:c r="J112" s="36" t="str">
        <x:v>Frei/Abo</x:v>
      </x:c>
      <x:c r="K112" s="36" t="str">
        <x:v>DE</x:v>
      </x:c>
      <x:c r="L112" s="37" t="str"/>
    </x:row>
    <x:row r="113">
      <x:c r="A113" s="52" t="str">
        <x:v>Österreich</x:v>
      </x:c>
      <x:c r="B113" s="52" t="str">
        <x:v>Regionalligen</x:v>
      </x:c>
      <x:c r="C113" s="52" t="str">
        <x:v>Ligaportal</x:v>
      </x:c>
      <x:c r="D113" s="52" t="str">
        <x:v>https://www.ligaportal.at/</x:v>
      </x:c>
      <x:c r="E113" s="52" t="str">
        <x:v>Regional-/Amateurportal</x:v>
      </x:c>
      <x:c r="F113" s="52" t="str">
        <x:v>B</x:v>
      </x:c>
      <x:c r="G113" s="52" t="n">
        <x:v>1</x:v>
      </x:c>
      <x:c r="H113" s="52" t="str">
        <x:v>Regionalliga- und Amateurtransfers</x:v>
      </x:c>
      <x:c r="I113" s="52" t="str">
        <x:v>Tiefe regionale Abdeckung</x:v>
      </x:c>
      <x:c r="J113" s="52" t="str">
        <x:v>Frei</x:v>
      </x:c>
      <x:c r="K113" s="52" t="str">
        <x:v>DE</x:v>
      </x:c>
      <x:c r="L113" s="53" t="str"/>
    </x:row>
    <x:row r="114">
      <x:c r="A114" s="36" t="str">
        <x:v>Österreich</x:v>
      </x:c>
      <x:c r="B114" s="36" t="str">
        <x:v>Alle Clubs</x:v>
      </x:c>
      <x:c r="C114" s="36" t="str">
        <x:v>Kronen Zeitung / Kurier / Kleine Zeitung regional</x:v>
      </x:c>
      <x:c r="D114" s="36" t="str"/>
      <x:c r="E114" s="36" t="str">
        <x:v>National/Regional</x:v>
      </x:c>
      <x:c r="F114" s="36" t="str">
        <x:v>B</x:v>
      </x:c>
      <x:c r="G114" s="36" t="n">
        <x:v>1</x:v>
      </x:c>
      <x:c r="H114" s="36" t="str">
        <x:v>Lokale Club-Reporter</x:v>
      </x:c>
      <x:c r="I114" s="36" t="str">
        <x:v>Clubbezogen</x:v>
      </x:c>
      <x:c r="J114" s="36" t="str">
        <x:v>Abo/Frei</x:v>
      </x:c>
      <x:c r="K114" s="36" t="str">
        <x:v>DE</x:v>
      </x:c>
      <x:c r="L114" s="37" t="str"/>
    </x:row>
    <x:row r="115">
      <x:c r="A115" s="52" t="str">
        <x:v>Österreich</x:v>
      </x:c>
      <x:c r="B115" s="52" t="str">
        <x:v>Alle Clubs</x:v>
      </x:c>
      <x:c r="C115" s="52" t="str">
        <x:v>Offizielle Club-Websites und Social-Kanäle</x:v>
      </x:c>
      <x:c r="D115" s="52" t="str"/>
      <x:c r="E115" s="52" t="str">
        <x:v>Primärquelle</x:v>
      </x:c>
      <x:c r="F115" s="52" t="str">
        <x:v>A1</x:v>
      </x:c>
      <x:c r="G115" s="52" t="n">
        <x:v>1</x:v>
      </x:c>
      <x:c r="H115" s="52" t="str">
        <x:v>Bestätigte Transfers und Kadernews</x:v>
      </x:c>
      <x:c r="I115" s="52" t="str">
        <x:v>Jeder Club einzeln</x:v>
      </x:c>
      <x:c r="J115" s="52" t="str">
        <x:v>Frei</x:v>
      </x:c>
      <x:c r="K115" s="52" t="str">
        <x:v>DE</x:v>
      </x:c>
      <x:c r="L115" s="53" t="str"/>
    </x:row>
    <x:row r="116">
      <x:c r="A116" s="36" t="str">
        <x:v>Schweiz</x:v>
      </x:c>
      <x:c r="B116" s="36" t="str">
        <x:v>Super League / Challenge League</x:v>
      </x:c>
      <x:c r="C116" s="36" t="str">
        <x:v>Swiss Football League</x:v>
      </x:c>
      <x:c r="D116" s="36" t="str">
        <x:v>https://sfl.ch/</x:v>
      </x:c>
      <x:c r="E116" s="36" t="str">
        <x:v>Offizielle Liga</x:v>
      </x:c>
      <x:c r="F116" s="36" t="str">
        <x:v>A1</x:v>
      </x:c>
      <x:c r="G116" s="36" t="n">
        <x:v>1</x:v>
      </x:c>
      <x:c r="H116" s="36" t="str">
        <x:v>Offizielle News, Clubs, Spielbetrieb</x:v>
      </x:c>
      <x:c r="I116" s="36" t="str">
        <x:v>1. und 2. Liga</x:v>
      </x:c>
      <x:c r="J116" s="36" t="str">
        <x:v>Frei / Lizenz prüfen</x:v>
      </x:c>
      <x:c r="K116" s="36" t="str">
        <x:v>DE/FR/IT</x:v>
      </x:c>
      <x:c r="L116" s="37" t="str"/>
    </x:row>
    <x:row r="117">
      <x:c r="A117" s="52" t="str">
        <x:v>Schweiz</x:v>
      </x:c>
      <x:c r="B117" s="52" t="str">
        <x:v>Alle Ligen</x:v>
      </x:c>
      <x:c r="C117" s="52" t="str">
        <x:v>SFV</x:v>
      </x:c>
      <x:c r="D117" s="52" t="str">
        <x:v>https://www.football.ch/</x:v>
      </x:c>
      <x:c r="E117" s="52" t="str">
        <x:v>Offizieller Verband</x:v>
      </x:c>
      <x:c r="F117" s="52" t="str">
        <x:v>A1</x:v>
      </x:c>
      <x:c r="G117" s="52" t="n">
        <x:v>1</x:v>
      </x:c>
      <x:c r="H117" s="52" t="str">
        <x:v>Registrierung, Disziplin, Verbandsnews</x:v>
      </x:c>
      <x:c r="I117" s="52" t="str">
        <x:v>Schweiz</x:v>
      </x:c>
      <x:c r="J117" s="52" t="str">
        <x:v>Frei</x:v>
      </x:c>
      <x:c r="K117" s="52" t="str">
        <x:v>DE/FR/IT</x:v>
      </x:c>
      <x:c r="L117" s="53" t="str"/>
    </x:row>
    <x:row r="118">
      <x:c r="A118" s="36" t="str">
        <x:v>Schweiz</x:v>
      </x:c>
      <x:c r="B118" s="36" t="str">
        <x:v>Alle Profiligen</x:v>
      </x:c>
      <x:c r="C118" s="36" t="str">
        <x:v>SRF Sport Fußball</x:v>
      </x:c>
      <x:c r="D118" s="36" t="str">
        <x:v>https://www.srf.ch/sport/fussball</x:v>
      </x:c>
      <x:c r="E118" s="36" t="str">
        <x:v>Öffentlich-rechtlich</x:v>
      </x:c>
      <x:c r="F118" s="36" t="str">
        <x:v>A2</x:v>
      </x:c>
      <x:c r="G118" s="36" t="n">
        <x:v>1</x:v>
      </x:c>
      <x:c r="H118" s="36" t="str">
        <x:v>Bestätigte News und Interviews</x:v>
      </x:c>
      <x:c r="I118" s="36" t="str">
        <x:v>Deutschschweiz</x:v>
      </x:c>
      <x:c r="J118" s="36" t="str">
        <x:v>Frei</x:v>
      </x:c>
      <x:c r="K118" s="36" t="str">
        <x:v>DE</x:v>
      </x:c>
      <x:c r="L118" s="37" t="str"/>
    </x:row>
    <x:row r="119">
      <x:c r="A119" s="52" t="str">
        <x:v>Schweiz</x:v>
      </x:c>
      <x:c r="B119" s="52" t="str">
        <x:v>Alle Profiligen</x:v>
      </x:c>
      <x:c r="C119" s="52" t="str">
        <x:v>RTS Sport Football</x:v>
      </x:c>
      <x:c r="D119" s="52" t="str">
        <x:v>https://www.rts.ch/sport/football/</x:v>
      </x:c>
      <x:c r="E119" s="52" t="str">
        <x:v>Öffentlich-rechtlich</x:v>
      </x:c>
      <x:c r="F119" s="52" t="str">
        <x:v>A2</x:v>
      </x:c>
      <x:c r="G119" s="52" t="n">
        <x:v>1</x:v>
      </x:c>
      <x:c r="H119" s="52" t="str">
        <x:v>Westschweizer Club-News</x:v>
      </x:c>
      <x:c r="I119" s="52" t="str">
        <x:v>Romandie</x:v>
      </x:c>
      <x:c r="J119" s="52" t="str">
        <x:v>Frei</x:v>
      </x:c>
      <x:c r="K119" s="52" t="str">
        <x:v>FR</x:v>
      </x:c>
      <x:c r="L119" s="53" t="str"/>
    </x:row>
    <x:row r="120">
      <x:c r="A120" s="36" t="str">
        <x:v>Schweiz</x:v>
      </x:c>
      <x:c r="B120" s="36" t="str">
        <x:v>Alle Profiligen</x:v>
      </x:c>
      <x:c r="C120" s="36" t="str">
        <x:v>RSI Sport Calcio</x:v>
      </x:c>
      <x:c r="D120" s="36" t="str">
        <x:v>https://www.rsi.ch/sport/calcio/</x:v>
      </x:c>
      <x:c r="E120" s="36" t="str">
        <x:v>Öffentlich-rechtlich</x:v>
      </x:c>
      <x:c r="F120" s="36" t="str">
        <x:v>A2</x:v>
      </x:c>
      <x:c r="G120" s="36" t="n">
        <x:v>1</x:v>
      </x:c>
      <x:c r="H120" s="36" t="str">
        <x:v>Tessin und italienischsprachige Clubs</x:v>
      </x:c>
      <x:c r="I120" s="36" t="str">
        <x:v>Tessin</x:v>
      </x:c>
      <x:c r="J120" s="36" t="str">
        <x:v>Frei</x:v>
      </x:c>
      <x:c r="K120" s="36" t="str">
        <x:v>IT</x:v>
      </x:c>
      <x:c r="L120" s="37" t="str"/>
    </x:row>
    <x:row r="121">
      <x:c r="A121" s="52" t="str">
        <x:v>Schweiz</x:v>
      </x:c>
      <x:c r="B121" s="52" t="str">
        <x:v>Super League</x:v>
      </x:c>
      <x:c r="C121" s="52" t="str">
        <x:v>Blick Fußball</x:v>
      </x:c>
      <x:c r="D121" s="52" t="str">
        <x:v>https://www.blick.ch/sport/fussball/</x:v>
      </x:c>
      <x:c r="E121" s="52" t="str">
        <x:v>Nationales Medium</x:v>
      </x:c>
      <x:c r="F121" s="52" t="str">
        <x:v>A2/B</x:v>
      </x:c>
      <x:c r="G121" s="52" t="n">
        <x:v>1</x:v>
      </x:c>
      <x:c r="H121" s="52" t="str">
        <x:v>Transfers, Club-News, Exklusives</x:v>
      </x:c>
      <x:c r="I121" s="52" t="str">
        <x:v>Breit</x:v>
      </x:c>
      <x:c r="J121" s="52" t="str">
        <x:v>Frei/Abo</x:v>
      </x:c>
      <x:c r="K121" s="52" t="str">
        <x:v>DE</x:v>
      </x:c>
      <x:c r="L121" s="53" t="str"/>
    </x:row>
    <x:row r="122">
      <x:c r="A122" s="36" t="str">
        <x:v>Schweiz</x:v>
      </x:c>
      <x:c r="B122" s="36" t="str">
        <x:v>Super League</x:v>
      </x:c>
      <x:c r="C122" s="36" t="str">
        <x:v>blue Sport</x:v>
      </x:c>
      <x:c r="D122" s="36" t="str">
        <x:v>https://www.bluewin.ch/de/sport/fussball.html</x:v>
      </x:c>
      <x:c r="E122" s="36" t="str">
        <x:v>TV/Digital</x:v>
      </x:c>
      <x:c r="F122" s="36" t="str">
        <x:v>A2/B</x:v>
      </x:c>
      <x:c r="G122" s="36" t="n">
        <x:v>1</x:v>
      </x:c>
      <x:c r="H122" s="36" t="str">
        <x:v>Interviews, Transfer-News, Live</x:v>
      </x:c>
      <x:c r="I122" s="36" t="str">
        <x:v>Breit</x:v>
      </x:c>
      <x:c r="J122" s="36" t="str">
        <x:v>Frei/Abo</x:v>
      </x:c>
      <x:c r="K122" s="36" t="str">
        <x:v>DE</x:v>
      </x:c>
      <x:c r="L122" s="37" t="str"/>
    </x:row>
    <x:row r="123">
      <x:c r="A123" s="52" t="str">
        <x:v>Schweiz</x:v>
      </x:c>
      <x:c r="B123" s="52" t="str">
        <x:v>Alle Profiligen</x:v>
      </x:c>
      <x:c r="C123" s="52" t="str">
        <x:v>20 Minuten Sport</x:v>
      </x:c>
      <x:c r="D123" s="52" t="str">
        <x:v>https://www.20min.ch/sport/fussball</x:v>
      </x:c>
      <x:c r="E123" s="52" t="str">
        <x:v>Nationales Medium</x:v>
      </x:c>
      <x:c r="F123" s="52" t="str">
        <x:v>B</x:v>
      </x:c>
      <x:c r="G123" s="52" t="n">
        <x:v>2</x:v>
      </x:c>
      <x:c r="H123" s="52" t="str">
        <x:v>Schnelle News und Gerüchte</x:v>
      </x:c>
      <x:c r="I123" s="52" t="str">
        <x:v>Breit</x:v>
      </x:c>
      <x:c r="J123" s="52" t="str">
        <x:v>Frei</x:v>
      </x:c>
      <x:c r="K123" s="52" t="str">
        <x:v>DE</x:v>
      </x:c>
      <x:c r="L123" s="53" t="str"/>
    </x:row>
    <x:row r="124">
      <x:c r="A124" s="36" t="str">
        <x:v>Schweiz</x:v>
      </x:c>
      <x:c r="B124" s="36" t="str">
        <x:v>Alle Profiligen</x:v>
      </x:c>
      <x:c r="C124" s="36" t="str">
        <x:v>Nau.ch Fußball</x:v>
      </x:c>
      <x:c r="D124" s="36" t="str">
        <x:v>https://www.nau.ch/sport/fussball</x:v>
      </x:c>
      <x:c r="E124" s="36" t="str">
        <x:v>Digitales Medium</x:v>
      </x:c>
      <x:c r="F124" s="36" t="str">
        <x:v>B</x:v>
      </x:c>
      <x:c r="G124" s="36" t="n">
        <x:v>2</x:v>
      </x:c>
      <x:c r="H124" s="36" t="str">
        <x:v>Schnelle Club-News</x:v>
      </x:c>
      <x:c r="I124" s="36" t="str">
        <x:v>Breit</x:v>
      </x:c>
      <x:c r="J124" s="36" t="str">
        <x:v>Frei</x:v>
      </x:c>
      <x:c r="K124" s="36" t="str">
        <x:v>DE</x:v>
      </x:c>
      <x:c r="L124" s="37" t="str"/>
    </x:row>
    <x:row r="125">
      <x:c r="A125" s="52" t="str">
        <x:v>Schweiz</x:v>
      </x:c>
      <x:c r="B125" s="52" t="str">
        <x:v>Alle Clubs</x:v>
      </x:c>
      <x:c r="C125" s="52" t="str">
        <x:v>Regionale Tageszeitungen</x:v>
      </x:c>
      <x:c r="D125" s="52" t="str"/>
      <x:c r="E125" s="52" t="str">
        <x:v>Regionalmedium</x:v>
      </x:c>
      <x:c r="F125" s="52" t="str">
        <x:v>A2/B</x:v>
      </x:c>
      <x:c r="G125" s="52" t="n">
        <x:v>1</x:v>
      </x:c>
      <x:c r="H125" s="52" t="str">
        <x:v>Club-Beat-Reporter</x:v>
      </x:c>
      <x:c r="I125" s="52" t="str">
        <x:v>Clubbezogen</x:v>
      </x:c>
      <x:c r="J125" s="52" t="str">
        <x:v>Abo/Frei</x:v>
      </x:c>
      <x:c r="K125" s="52" t="str">
        <x:v>DE/FR/IT</x:v>
      </x:c>
      <x:c r="L125" s="53" t="str">
        <x:v>Basler Zeitung, Berner Zeitung, Luzerner Zeitung, Tribune de Genève, 24 heures, Corriere del Ticino u.a.</x:v>
      </x:c>
    </x:row>
    <x:row r="126">
      <x:c r="A126" s="36" t="str">
        <x:v>Schweiz</x:v>
      </x:c>
      <x:c r="B126" s="36" t="str">
        <x:v>Alle Clubs</x:v>
      </x:c>
      <x:c r="C126" s="36" t="str">
        <x:v>Offizielle Club-Websites und Social-Kanäle</x:v>
      </x:c>
      <x:c r="D126" s="36" t="str"/>
      <x:c r="E126" s="36" t="str">
        <x:v>Primärquelle</x:v>
      </x:c>
      <x:c r="F126" s="36" t="str">
        <x:v>A1</x:v>
      </x:c>
      <x:c r="G126" s="36" t="n">
        <x:v>1</x:v>
      </x:c>
      <x:c r="H126" s="36" t="str">
        <x:v>Bestätigungen und direkte Aussagen</x:v>
      </x:c>
      <x:c r="I126" s="36" t="str">
        <x:v>Jeder Club einzeln</x:v>
      </x:c>
      <x:c r="J126" s="36" t="str">
        <x:v>Frei</x:v>
      </x:c>
      <x:c r="K126" s="36" t="str">
        <x:v>DE/FR/IT</x:v>
      </x:c>
      <x:c r="L126" s="37" t="str"/>
    </x:row>
    <x:row r="127">
      <x:c r="A127" s="52" t="str">
        <x:v>Türkei</x:v>
      </x:c>
      <x:c r="B127" s="52" t="str">
        <x:v>Süper Lig / 1. Lig</x:v>
      </x:c>
      <x:c r="C127" s="52" t="str">
        <x:v>TFF und TFF Info Bank</x:v>
      </x:c>
      <x:c r="D127" s="52" t="str">
        <x:v>https://www.tff.org/</x:v>
      </x:c>
      <x:c r="E127" s="52" t="str">
        <x:v>Offizieller Verband</x:v>
      </x:c>
      <x:c r="F127" s="52" t="str">
        <x:v>A1</x:v>
      </x:c>
      <x:c r="G127" s="52" t="n">
        <x:v>1</x:v>
      </x:c>
      <x:c r="H127" s="52" t="str">
        <x:v>Clubs, Spieler, Verträge/Registrierungen, Spielbetrieb</x:v>
      </x:c>
      <x:c r="I127" s="52" t="str">
        <x:v>1. und 2. Liga</x:v>
      </x:c>
      <x:c r="J127" s="52" t="str">
        <x:v>Frei / Nutzung prüfen</x:v>
      </x:c>
      <x:c r="K127" s="52" t="str">
        <x:v>TR/EN</x:v>
      </x:c>
      <x:c r="L127" s="53" t="str"/>
    </x:row>
    <x:row r="128">
      <x:c r="A128" s="36" t="str">
        <x:v>Türkei</x:v>
      </x:c>
      <x:c r="B128" s="36" t="str">
        <x:v>Süper Lig / 1. Lig</x:v>
      </x:c>
      <x:c r="C128" s="36" t="str">
        <x:v>TRT Spor</x:v>
      </x:c>
      <x:c r="D128" s="36" t="str">
        <x:v>https://www.trtspor.com.tr/futbol/</x:v>
      </x:c>
      <x:c r="E128" s="36" t="str">
        <x:v>Öffentlich-rechtlich</x:v>
      </x:c>
      <x:c r="F128" s="36" t="str">
        <x:v>A2</x:v>
      </x:c>
      <x:c r="G128" s="36" t="n">
        <x:v>1</x:v>
      </x:c>
      <x:c r="H128" s="36" t="str">
        <x:v>Bestätigte News, Interviews, Transfers</x:v>
      </x:c>
      <x:c r="I128" s="36" t="str">
        <x:v>Breit</x:v>
      </x:c>
      <x:c r="J128" s="36" t="str">
        <x:v>Frei</x:v>
      </x:c>
      <x:c r="K128" s="36" t="str">
        <x:v>TR</x:v>
      </x:c>
      <x:c r="L128" s="37" t="str"/>
    </x:row>
    <x:row r="129">
      <x:c r="A129" s="52" t="str">
        <x:v>Türkei</x:v>
      </x:c>
      <x:c r="B129" s="52" t="str">
        <x:v>Süper Lig</x:v>
      </x:c>
      <x:c r="C129" s="52" t="str">
        <x:v>beIN SPORTS Türkiye</x:v>
      </x:c>
      <x:c r="D129" s="52" t="str">
        <x:v>https://beinsports.com.tr/futbol</x:v>
      </x:c>
      <x:c r="E129" s="52" t="str">
        <x:v>TV/Fachredaktion</x:v>
      </x:c>
      <x:c r="F129" s="52" t="str">
        <x:v>A2</x:v>
      </x:c>
      <x:c r="G129" s="52" t="n">
        <x:v>1</x:v>
      </x:c>
      <x:c r="H129" s="52" t="str">
        <x:v>Liga-News, Interviews, Transfers</x:v>
      </x:c>
      <x:c r="I129" s="52" t="str">
        <x:v>Süper Lig</x:v>
      </x:c>
      <x:c r="J129" s="52" t="str">
        <x:v>Frei/Abo</x:v>
      </x:c>
      <x:c r="K129" s="52" t="str">
        <x:v>TR</x:v>
      </x:c>
      <x:c r="L129" s="53" t="str"/>
    </x:row>
    <x:row r="130">
      <x:c r="A130" s="36" t="str">
        <x:v>Türkei</x:v>
      </x:c>
      <x:c r="B130" s="36" t="str">
        <x:v>Süper Lig / 1. Lig</x:v>
      </x:c>
      <x:c r="C130" s="36" t="str">
        <x:v>Ajansspor</x:v>
      </x:c>
      <x:c r="D130" s="36" t="str">
        <x:v>https://ajansspor.com/futbol</x:v>
      </x:c>
      <x:c r="E130" s="36" t="str">
        <x:v>Digitales Fachmedium</x:v>
      </x:c>
      <x:c r="F130" s="36" t="str">
        <x:v>A2/B</x:v>
      </x:c>
      <x:c r="G130" s="36" t="n">
        <x:v>1</x:v>
      </x:c>
      <x:c r="H130" s="36" t="str">
        <x:v>Transfers, Club-News, Interviews</x:v>
      </x:c>
      <x:c r="I130" s="36" t="str">
        <x:v>Breit</x:v>
      </x:c>
      <x:c r="J130" s="36" t="str">
        <x:v>Frei</x:v>
      </x:c>
      <x:c r="K130" s="36" t="str">
        <x:v>TR</x:v>
      </x:c>
      <x:c r="L130" s="37" t="str"/>
    </x:row>
    <x:row r="131">
      <x:c r="A131" s="52" t="str">
        <x:v>Türkei</x:v>
      </x:c>
      <x:c r="B131" s="52" t="str">
        <x:v>Süper Lig</x:v>
      </x:c>
      <x:c r="C131" s="52" t="str">
        <x:v>NTV Spor</x:v>
      </x:c>
      <x:c r="D131" s="52" t="str">
        <x:v>https://www.ntvspor.net/futbol</x:v>
      </x:c>
      <x:c r="E131" s="52" t="str">
        <x:v>Nationales Sportmedium</x:v>
      </x:c>
      <x:c r="F131" s="52" t="str">
        <x:v>A2/B</x:v>
      </x:c>
      <x:c r="G131" s="52" t="n">
        <x:v>1</x:v>
      </x:c>
      <x:c r="H131" s="52" t="str">
        <x:v>Transfers und Club-News</x:v>
      </x:c>
      <x:c r="I131" s="52" t="str">
        <x:v>Breit</x:v>
      </x:c>
      <x:c r="J131" s="52" t="str">
        <x:v>Frei</x:v>
      </x:c>
      <x:c r="K131" s="52" t="str">
        <x:v>TR</x:v>
      </x:c>
      <x:c r="L131" s="53" t="str"/>
    </x:row>
    <x:row r="132">
      <x:c r="A132" s="36" t="str">
        <x:v>Türkei</x:v>
      </x:c>
      <x:c r="B132" s="36" t="str">
        <x:v>Süper Lig</x:v>
      </x:c>
      <x:c r="C132" s="36" t="str">
        <x:v>Fanatik</x:v>
      </x:c>
      <x:c r="D132" s="36" t="str">
        <x:v>https://www.fanatik.com.tr/futbol</x:v>
      </x:c>
      <x:c r="E132" s="36" t="str">
        <x:v>Nationales Sportmedium</x:v>
      </x:c>
      <x:c r="F132" s="36" t="str">
        <x:v>B</x:v>
      </x:c>
      <x:c r="G132" s="36" t="n">
        <x:v>1</x:v>
      </x:c>
      <x:c r="H132" s="36" t="str">
        <x:v>Transfers und Gerüchte</x:v>
      </x:c>
      <x:c r="I132" s="36" t="str">
        <x:v>Breit</x:v>
      </x:c>
      <x:c r="J132" s="36" t="str">
        <x:v>Frei</x:v>
      </x:c>
      <x:c r="K132" s="36" t="str">
        <x:v>TR</x:v>
      </x:c>
      <x:c r="L132" s="37" t="str"/>
    </x:row>
    <x:row r="133">
      <x:c r="A133" s="52" t="str">
        <x:v>Türkei</x:v>
      </x:c>
      <x:c r="B133" s="52" t="str">
        <x:v>Süper Lig</x:v>
      </x:c>
      <x:c r="C133" s="52" t="str">
        <x:v>Fotomaç</x:v>
      </x:c>
      <x:c r="D133" s="52" t="str">
        <x:v>https://www.fotomac.com.tr/futbol</x:v>
      </x:c>
      <x:c r="E133" s="52" t="str">
        <x:v>Nationales Sportmedium</x:v>
      </x:c>
      <x:c r="F133" s="52" t="str">
        <x:v>B/C</x:v>
      </x:c>
      <x:c r="G133" s="52" t="n">
        <x:v>1</x:v>
      </x:c>
      <x:c r="H133" s="52" t="str">
        <x:v>Hohe Gerüchtefrequenz</x:v>
      </x:c>
      <x:c r="I133" s="52" t="str">
        <x:v>Breit</x:v>
      </x:c>
      <x:c r="J133" s="52" t="str">
        <x:v>Frei</x:v>
      </x:c>
      <x:c r="K133" s="52" t="str">
        <x:v>TR</x:v>
      </x:c>
      <x:c r="L133" s="53" t="str">
        <x:v>Nur mit weiterer Quelle verwenden</x:v>
      </x:c>
    </x:row>
    <x:row r="134">
      <x:c r="A134" s="36" t="str">
        <x:v>Türkei</x:v>
      </x:c>
      <x:c r="B134" s="36" t="str">
        <x:v>Süper Lig / 1. Lig</x:v>
      </x:c>
      <x:c r="C134" s="36" t="str">
        <x:v>Sporx</x:v>
      </x:c>
      <x:c r="D134" s="36" t="str">
        <x:v>https://www.sporx.com/futbol/</x:v>
      </x:c>
      <x:c r="E134" s="36" t="str">
        <x:v>Digitales Sportmedium</x:v>
      </x:c>
      <x:c r="F134" s="36" t="str">
        <x:v>B</x:v>
      </x:c>
      <x:c r="G134" s="36" t="n">
        <x:v>1</x:v>
      </x:c>
      <x:c r="H134" s="36" t="str">
        <x:v>Transfers, Club-News, Live</x:v>
      </x:c>
      <x:c r="I134" s="36" t="str">
        <x:v>Breit</x:v>
      </x:c>
      <x:c r="J134" s="36" t="str">
        <x:v>Frei</x:v>
      </x:c>
      <x:c r="K134" s="36" t="str">
        <x:v>TR</x:v>
      </x:c>
      <x:c r="L134" s="37" t="str"/>
    </x:row>
    <x:row r="135">
      <x:c r="A135" s="52" t="str">
        <x:v>Türkei</x:v>
      </x:c>
      <x:c r="B135" s="52" t="str">
        <x:v>Süper Lig</x:v>
      </x:c>
      <x:c r="C135" s="52" t="str">
        <x:v>Sports Digitale</x:v>
      </x:c>
      <x:c r="D135" s="52" t="str">
        <x:v>https://www.youtube.com/@SportsDigitale</x:v>
      </x:c>
      <x:c r="E135" s="52" t="str">
        <x:v>Digital/Video</x:v>
      </x:c>
      <x:c r="F135" s="52" t="str">
        <x:v>B</x:v>
      </x:c>
      <x:c r="G135" s="52" t="n">
        <x:v>2</x:v>
      </x:c>
      <x:c r="H135" s="52" t="str">
        <x:v>Interviews und Insiderformate</x:v>
      </x:c>
      <x:c r="I135" s="52" t="str">
        <x:v>Topclubs</x:v>
      </x:c>
      <x:c r="J135" s="52" t="str">
        <x:v>Frei</x:v>
      </x:c>
      <x:c r="K135" s="52" t="str">
        <x:v>TR</x:v>
      </x:c>
      <x:c r="L135" s="53" t="str"/>
    </x:row>
    <x:row r="136">
      <x:c r="A136" s="36" t="str">
        <x:v>Türkei</x:v>
      </x:c>
      <x:c r="B136" s="36" t="str">
        <x:v>Börsennotierte Clubs</x:v>
      </x:c>
      <x:c r="C136" s="36" t="str">
        <x:v>KAP</x:v>
      </x:c>
      <x:c r="D136" s="36" t="str">
        <x:v>https://www.kap.org.tr/</x:v>
      </x:c>
      <x:c r="E136" s="36" t="str">
        <x:v>Unternehmens-/Börsenregister</x:v>
      </x:c>
      <x:c r="F136" s="36" t="str">
        <x:v>A1</x:v>
      </x:c>
      <x:c r="G136" s="36" t="n">
        <x:v>1</x:v>
      </x:c>
      <x:c r="H136" s="36" t="str">
        <x:v>Vertrags-/Transfer- und Finanzmitteilungen</x:v>
      </x:c>
      <x:c r="I136" s="36" t="str">
        <x:v>Börsennotierte Clubs</x:v>
      </x:c>
      <x:c r="J136" s="36" t="str">
        <x:v>Frei</x:v>
      </x:c>
      <x:c r="K136" s="36" t="str">
        <x:v>TR</x:v>
      </x:c>
      <x:c r="L136" s="37" t="str">
        <x:v>Besonders wichtig für Galatasaray, Fenerbahçe, Beşiktaş, Trabzonspor</x:v>
      </x:c>
    </x:row>
    <x:row r="137">
      <x:c r="A137" s="52" t="str">
        <x:v>Türkei</x:v>
      </x:c>
      <x:c r="B137" s="52" t="str">
        <x:v>Alle Clubs</x:v>
      </x:c>
      <x:c r="C137" s="52" t="str">
        <x:v>Offizielle Club-Websites und Social-Kanäle</x:v>
      </x:c>
      <x:c r="D137" s="52" t="str"/>
      <x:c r="E137" s="52" t="str">
        <x:v>Primärquelle</x:v>
      </x:c>
      <x:c r="F137" s="52" t="str">
        <x:v>A1</x:v>
      </x:c>
      <x:c r="G137" s="52" t="n">
        <x:v>1</x:v>
      </x:c>
      <x:c r="H137" s="52" t="str">
        <x:v>Bestätigungen und direkte Aussagen</x:v>
      </x:c>
      <x:c r="I137" s="52" t="str">
        <x:v>Jeder Club einzeln</x:v>
      </x:c>
      <x:c r="J137" s="52" t="str">
        <x:v>Frei</x:v>
      </x:c>
      <x:c r="K137" s="52" t="str">
        <x:v>TR</x:v>
      </x:c>
      <x:c r="L137" s="53" t="str"/>
    </x:row>
    <x:row r="138">
      <x:c r="A138" s="36" t="str">
        <x:v>Schottland</x:v>
      </x:c>
      <x:c r="B138" s="36" t="str">
        <x:v>Premiership / Championship</x:v>
      </x:c>
      <x:c r="C138" s="36" t="str">
        <x:v>SPFL</x:v>
      </x:c>
      <x:c r="D138" s="36" t="str">
        <x:v>https://spfl.co.uk/</x:v>
      </x:c>
      <x:c r="E138" s="36" t="str">
        <x:v>Offizielle Liga</x:v>
      </x:c>
      <x:c r="F138" s="36" t="str">
        <x:v>A1</x:v>
      </x:c>
      <x:c r="G138" s="36" t="n">
        <x:v>1</x:v>
      </x:c>
      <x:c r="H138" s="36" t="str">
        <x:v>Offizielle News, Clubs, Spielbetrieb</x:v>
      </x:c>
      <x:c r="I138" s="36" t="str">
        <x:v>Top 4 Profiligen</x:v>
      </x:c>
      <x:c r="J138" s="36" t="str">
        <x:v>Frei / Lizenz prüfen</x:v>
      </x:c>
      <x:c r="K138" s="36" t="str">
        <x:v>EN</x:v>
      </x:c>
      <x:c r="L138" s="37" t="str"/>
    </x:row>
    <x:row r="139">
      <x:c r="A139" s="52" t="str">
        <x:v>Schottland</x:v>
      </x:c>
      <x:c r="B139" s="52" t="str">
        <x:v>Alle Ligen</x:v>
      </x:c>
      <x:c r="C139" s="52" t="str">
        <x:v>Scottish FA</x:v>
      </x:c>
      <x:c r="D139" s="52" t="str">
        <x:v>https://www.scottishfa.co.uk/</x:v>
      </x:c>
      <x:c r="E139" s="52" t="str">
        <x:v>Offizieller Verband</x:v>
      </x:c>
      <x:c r="F139" s="52" t="str">
        <x:v>A1</x:v>
      </x:c>
      <x:c r="G139" s="52" t="n">
        <x:v>1</x:v>
      </x:c>
      <x:c r="H139" s="52" t="str">
        <x:v>Registrierung, Disziplin, Verbandsnews</x:v>
      </x:c>
      <x:c r="I139" s="52" t="str">
        <x:v>Schottland</x:v>
      </x:c>
      <x:c r="J139" s="52" t="str">
        <x:v>Frei</x:v>
      </x:c>
      <x:c r="K139" s="52" t="str">
        <x:v>EN</x:v>
      </x:c>
      <x:c r="L139" s="53" t="str"/>
    </x:row>
    <x:row r="140">
      <x:c r="A140" s="36" t="str">
        <x:v>Schottland</x:v>
      </x:c>
      <x:c r="B140" s="36" t="str">
        <x:v>Premiership / Championship</x:v>
      </x:c>
      <x:c r="C140" s="36" t="str">
        <x:v>BBC Sport Scotland Football</x:v>
      </x:c>
      <x:c r="D140" s="36" t="str">
        <x:v>https://www.bbc.com/sport/football/scottish</x:v>
      </x:c>
      <x:c r="E140" s="36" t="str">
        <x:v>Öffentlich-rechtlich</x:v>
      </x:c>
      <x:c r="F140" s="36" t="str">
        <x:v>A2</x:v>
      </x:c>
      <x:c r="G140" s="36" t="n">
        <x:v>1</x:v>
      </x:c>
      <x:c r="H140" s="36" t="str">
        <x:v>Bestätigungen, Interviews, Liveblogs</x:v>
      </x:c>
      <x:c r="I140" s="36" t="str">
        <x:v>Breit</x:v>
      </x:c>
      <x:c r="J140" s="36" t="str">
        <x:v>Frei</x:v>
      </x:c>
      <x:c r="K140" s="36" t="str">
        <x:v>EN</x:v>
      </x:c>
      <x:c r="L140" s="37" t="str"/>
    </x:row>
    <x:row r="141">
      <x:c r="A141" s="52" t="str">
        <x:v>Schottland</x:v>
      </x:c>
      <x:c r="B141" s="52" t="str">
        <x:v>Premiership</x:v>
      </x:c>
      <x:c r="C141" s="52" t="str">
        <x:v>Sky Sports Scottish Football</x:v>
      </x:c>
      <x:c r="D141" s="52" t="str">
        <x:v>https://www.skysports.com/scottish-football</x:v>
      </x:c>
      <x:c r="E141" s="52" t="str">
        <x:v>TV/Fachredaktion</x:v>
      </x:c>
      <x:c r="F141" s="52" t="str">
        <x:v>A2</x:v>
      </x:c>
      <x:c r="G141" s="52" t="n">
        <x:v>1</x:v>
      </x:c>
      <x:c r="H141" s="52" t="str">
        <x:v>Transfers und Breaking News</x:v>
      </x:c>
      <x:c r="I141" s="52" t="str">
        <x:v>Topliga</x:v>
      </x:c>
      <x:c r="J141" s="52" t="str">
        <x:v>Frei/Abo</x:v>
      </x:c>
      <x:c r="K141" s="52" t="str">
        <x:v>EN</x:v>
      </x:c>
      <x:c r="L141" s="53" t="str"/>
    </x:row>
    <x:row r="142">
      <x:c r="A142" s="36" t="str">
        <x:v>Schottland</x:v>
      </x:c>
      <x:c r="B142" s="36" t="str">
        <x:v>Alle Profiligen</x:v>
      </x:c>
      <x:c r="C142" s="36" t="str">
        <x:v>STV Sport</x:v>
      </x:c>
      <x:c r="D142" s="36" t="str">
        <x:v>https://news.stv.tv/sport</x:v>
      </x:c>
      <x:c r="E142" s="36" t="str">
        <x:v>TV/Digital</x:v>
      </x:c>
      <x:c r="F142" s="36" t="str">
        <x:v>A2</x:v>
      </x:c>
      <x:c r="G142" s="36" t="n">
        <x:v>1</x:v>
      </x:c>
      <x:c r="H142" s="36" t="str">
        <x:v>Club-News und Interviews</x:v>
      </x:c>
      <x:c r="I142" s="36" t="str">
        <x:v>Breit</x:v>
      </x:c>
      <x:c r="J142" s="36" t="str">
        <x:v>Frei</x:v>
      </x:c>
      <x:c r="K142" s="36" t="str">
        <x:v>EN</x:v>
      </x:c>
      <x:c r="L142" s="37" t="str"/>
    </x:row>
    <x:row r="143">
      <x:c r="A143" s="52" t="str">
        <x:v>Schottland</x:v>
      </x:c>
      <x:c r="B143" s="52" t="str">
        <x:v>Premiership / Championship</x:v>
      </x:c>
      <x:c r="C143" s="52" t="str">
        <x:v>Daily Record Football</x:v>
      </x:c>
      <x:c r="D143" s="52" t="str">
        <x:v>https://www.dailyrecord.co.uk/sport/football/</x:v>
      </x:c>
      <x:c r="E143" s="52" t="str">
        <x:v>Nationales Medium</x:v>
      </x:c>
      <x:c r="F143" s="52" t="str">
        <x:v>B</x:v>
      </x:c>
      <x:c r="G143" s="52" t="n">
        <x:v>1</x:v>
      </x:c>
      <x:c r="H143" s="52" t="str">
        <x:v>Transfers und Club-News</x:v>
      </x:c>
      <x:c r="I143" s="52" t="str">
        <x:v>Breit</x:v>
      </x:c>
      <x:c r="J143" s="52" t="str">
        <x:v>Frei</x:v>
      </x:c>
      <x:c r="K143" s="52" t="str">
        <x:v>EN</x:v>
      </x:c>
      <x:c r="L143" s="53" t="str"/>
    </x:row>
    <x:row r="144">
      <x:c r="A144" s="36" t="str">
        <x:v>Schottland</x:v>
      </x:c>
      <x:c r="B144" s="36" t="str">
        <x:v>Alle Profiligen</x:v>
      </x:c>
      <x:c r="C144" s="36" t="str">
        <x:v>The Scotsman Sport</x:v>
      </x:c>
      <x:c r="D144" s="36" t="str">
        <x:v>https://www.scotsman.com/sport/football</x:v>
      </x:c>
      <x:c r="E144" s="36" t="str">
        <x:v>National/Regional</x:v>
      </x:c>
      <x:c r="F144" s="36" t="str">
        <x:v>A2/B</x:v>
      </x:c>
      <x:c r="G144" s="36" t="n">
        <x:v>1</x:v>
      </x:c>
      <x:c r="H144" s="36" t="str">
        <x:v>Edinburgh Clubs und nationale News</x:v>
      </x:c>
      <x:c r="I144" s="36" t="str">
        <x:v>Breit</x:v>
      </x:c>
      <x:c r="J144" s="36" t="str">
        <x:v>Abo/Frei</x:v>
      </x:c>
      <x:c r="K144" s="36" t="str">
        <x:v>EN</x:v>
      </x:c>
      <x:c r="L144" s="37" t="str"/>
    </x:row>
    <x:row r="145">
      <x:c r="A145" s="52" t="str">
        <x:v>Schottland</x:v>
      </x:c>
      <x:c r="B145" s="52" t="str">
        <x:v>Nord/Ost</x:v>
      </x:c>
      <x:c r="C145" s="52" t="str">
        <x:v>Press and Journal Sport</x:v>
      </x:c>
      <x:c r="D145" s="52" t="str">
        <x:v>https://www.pressandjournal.co.uk/category/sport/football/</x:v>
      </x:c>
      <x:c r="E145" s="52" t="str">
        <x:v>Regionalmedium</x:v>
      </x:c>
      <x:c r="F145" s="52" t="str">
        <x:v>A2/B</x:v>
      </x:c>
      <x:c r="G145" s="52" t="n">
        <x:v>1</x:v>
      </x:c>
      <x:c r="H145" s="52" t="str">
        <x:v>Aberdeen, Inverness, Ross County u.a.</x:v>
      </x:c>
      <x:c r="I145" s="52" t="str">
        <x:v>Nord/Ost</x:v>
      </x:c>
      <x:c r="J145" s="52" t="str">
        <x:v>Abo/Frei</x:v>
      </x:c>
      <x:c r="K145" s="52" t="str">
        <x:v>EN</x:v>
      </x:c>
      <x:c r="L145" s="53" t="str"/>
    </x:row>
    <x:row r="146">
      <x:c r="A146" s="36" t="str">
        <x:v>Schottland</x:v>
      </x:c>
      <x:c r="B146" s="36" t="str">
        <x:v>Dundee / Tayside</x:v>
      </x:c>
      <x:c r="C146" s="36" t="str">
        <x:v>The Courier Sport</x:v>
      </x:c>
      <x:c r="D146" s="36" t="str">
        <x:v>https://www.thecourier.co.uk/category/sport/football/</x:v>
      </x:c>
      <x:c r="E146" s="36" t="str">
        <x:v>Regionalmedium</x:v>
      </x:c>
      <x:c r="F146" s="36" t="str">
        <x:v>A2/B</x:v>
      </x:c>
      <x:c r="G146" s="36" t="n">
        <x:v>1</x:v>
      </x:c>
      <x:c r="H146" s="36" t="str">
        <x:v>Dundee-Clubs und Region</x:v>
      </x:c>
      <x:c r="I146" s="36" t="str">
        <x:v>Regional</x:v>
      </x:c>
      <x:c r="J146" s="36" t="str">
        <x:v>Abo/Frei</x:v>
      </x:c>
      <x:c r="K146" s="36" t="str">
        <x:v>EN</x:v>
      </x:c>
      <x:c r="L146" s="37" t="str"/>
    </x:row>
    <x:row r="147">
      <x:c r="A147" s="52" t="str">
        <x:v>Schottland</x:v>
      </x:c>
      <x:c r="B147" s="52" t="str">
        <x:v>Alle Clubs</x:v>
      </x:c>
      <x:c r="C147" s="52" t="str">
        <x:v>Offizielle Club-Websites und Social-Kanäle</x:v>
      </x:c>
      <x:c r="D147" s="52" t="str"/>
      <x:c r="E147" s="52" t="str">
        <x:v>Primärquelle</x:v>
      </x:c>
      <x:c r="F147" s="52" t="str">
        <x:v>A1</x:v>
      </x:c>
      <x:c r="G147" s="52" t="n">
        <x:v>1</x:v>
      </x:c>
      <x:c r="H147" s="52" t="str">
        <x:v>Bestätigungen, Kadernews, Interviews</x:v>
      </x:c>
      <x:c r="I147" s="52" t="str">
        <x:v>Jeder Club einzeln</x:v>
      </x:c>
      <x:c r="J147" s="52" t="str">
        <x:v>Frei</x:v>
      </x:c>
      <x:c r="K147" s="52" t="str">
        <x:v>EN</x:v>
      </x:c>
      <x:c r="L147" s="53" t="str"/>
    </x:row>
    <x:row r="148">
      <x:c r="A148" s="36" t="str">
        <x:v>Dänemark</x:v>
      </x:c>
      <x:c r="B148" s="36" t="str">
        <x:v>Superliga</x:v>
      </x:c>
      <x:c r="C148" s="36" t="str">
        <x:v>Superliga.dk</x:v>
      </x:c>
      <x:c r="D148" s="36" t="str">
        <x:v>https://superliga.dk/</x:v>
      </x:c>
      <x:c r="E148" s="36" t="str">
        <x:v>Offizielle Liga</x:v>
      </x:c>
      <x:c r="F148" s="36" t="str">
        <x:v>A1</x:v>
      </x:c>
      <x:c r="G148" s="36" t="n">
        <x:v>1</x:v>
      </x:c>
      <x:c r="H148" s="36" t="str">
        <x:v>Offizielle News, Clubs, Stats</x:v>
      </x:c>
      <x:c r="I148" s="36" t="str">
        <x:v>Superliga</x:v>
      </x:c>
      <x:c r="J148" s="36" t="str">
        <x:v>Frei / Lizenz prüfen</x:v>
      </x:c>
      <x:c r="K148" s="36" t="str">
        <x:v>DA</x:v>
      </x:c>
      <x:c r="L148" s="37" t="str"/>
    </x:row>
    <x:row r="149">
      <x:c r="A149" s="52" t="str">
        <x:v>Dänemark</x:v>
      </x:c>
      <x:c r="B149" s="52" t="str">
        <x:v>1. Division</x:v>
      </x:c>
      <x:c r="C149" s="52" t="str">
        <x:v>1-division.dk</x:v>
      </x:c>
      <x:c r="D149" s="52" t="str">
        <x:v>https://1-division.dk/</x:v>
      </x:c>
      <x:c r="E149" s="52" t="str">
        <x:v>Offizielle Liga</x:v>
      </x:c>
      <x:c r="F149" s="52" t="str">
        <x:v>A1</x:v>
      </x:c>
      <x:c r="G149" s="52" t="n">
        <x:v>1</x:v>
      </x:c>
      <x:c r="H149" s="52" t="str">
        <x:v>Offizielle News, Clubs, Spielbetrieb</x:v>
      </x:c>
      <x:c r="I149" s="52" t="str">
        <x:v>1. Division</x:v>
      </x:c>
      <x:c r="J149" s="52" t="str">
        <x:v>Frei / Lizenz prüfen</x:v>
      </x:c>
      <x:c r="K149" s="52" t="str">
        <x:v>DA</x:v>
      </x:c>
      <x:c r="L149" s="53" t="str"/>
    </x:row>
    <x:row r="150">
      <x:c r="A150" s="36" t="str">
        <x:v>Dänemark</x:v>
      </x:c>
      <x:c r="B150" s="36" t="str">
        <x:v>Alle Ligen</x:v>
      </x:c>
      <x:c r="C150" s="36" t="str">
        <x:v>DBU</x:v>
      </x:c>
      <x:c r="D150" s="36" t="str">
        <x:v>https://www.dbu.dk/</x:v>
      </x:c>
      <x:c r="E150" s="36" t="str">
        <x:v>Offizieller Verband</x:v>
      </x:c>
      <x:c r="F150" s="36" t="str">
        <x:v>A1</x:v>
      </x:c>
      <x:c r="G150" s="36" t="n">
        <x:v>1</x:v>
      </x:c>
      <x:c r="H150" s="36" t="str">
        <x:v>Registrierung, Disziplin, Verbandsnews</x:v>
      </x:c>
      <x:c r="I150" s="36" t="str">
        <x:v>Dänemark</x:v>
      </x:c>
      <x:c r="J150" s="36" t="str">
        <x:v>Frei</x:v>
      </x:c>
      <x:c r="K150" s="36" t="str">
        <x:v>DA</x:v>
      </x:c>
      <x:c r="L150" s="37" t="str"/>
    </x:row>
    <x:row r="151">
      <x:c r="A151" s="52" t="str">
        <x:v>Dänemark</x:v>
      </x:c>
      <x:c r="B151" s="52" t="str">
        <x:v>Superliga / 1. Division</x:v>
      </x:c>
      <x:c r="C151" s="52" t="str">
        <x:v>Tipsbladet</x:v>
      </x:c>
      <x:c r="D151" s="52" t="str">
        <x:v>https://www.tipsbladet.dk/</x:v>
      </x:c>
      <x:c r="E151" s="52" t="str">
        <x:v>Nationales Fachmedium</x:v>
      </x:c>
      <x:c r="F151" s="52" t="str">
        <x:v>A2</x:v>
      </x:c>
      <x:c r="G151" s="52" t="n">
        <x:v>1</x:v>
      </x:c>
      <x:c r="H151" s="52" t="str">
        <x:v>Transfers, Club-News, Insider</x:v>
      </x:c>
      <x:c r="I151" s="52" t="str">
        <x:v>Breit</x:v>
      </x:c>
      <x:c r="J151" s="52" t="str">
        <x:v>Frei/Abo</x:v>
      </x:c>
      <x:c r="K151" s="52" t="str">
        <x:v>DA</x:v>
      </x:c>
      <x:c r="L151" s="53" t="str"/>
    </x:row>
    <x:row r="152">
      <x:c r="A152" s="36" t="str">
        <x:v>Dänemark</x:v>
      </x:c>
      <x:c r="B152" s="36" t="str">
        <x:v>Alle Profiligen</x:v>
      </x:c>
      <x:c r="C152" s="36" t="str">
        <x:v>Bold.dk</x:v>
      </x:c>
      <x:c r="D152" s="36" t="str">
        <x:v>https://bold.dk/</x:v>
      </x:c>
      <x:c r="E152" s="36" t="str">
        <x:v>Digitales Fachmedium</x:v>
      </x:c>
      <x:c r="F152" s="36" t="str">
        <x:v>A2/B</x:v>
      </x:c>
      <x:c r="G152" s="36" t="n">
        <x:v>1</x:v>
      </x:c>
      <x:c r="H152" s="36" t="str">
        <x:v>Transfers, Kader, Gerüchte</x:v>
      </x:c>
      <x:c r="I152" s="36" t="str">
        <x:v>Breit</x:v>
      </x:c>
      <x:c r="J152" s="36" t="str">
        <x:v>Frei</x:v>
      </x:c>
      <x:c r="K152" s="36" t="str">
        <x:v>DA</x:v>
      </x:c>
      <x:c r="L152" s="37" t="str"/>
    </x:row>
    <x:row r="153">
      <x:c r="A153" s="52" t="str">
        <x:v>Dänemark</x:v>
      </x:c>
      <x:c r="B153" s="52" t="str">
        <x:v>Alle Profiligen</x:v>
      </x:c>
      <x:c r="C153" s="52" t="str">
        <x:v>TV 2 Sport Fodbold</x:v>
      </x:c>
      <x:c r="D153" s="52" t="str">
        <x:v>https://sport.tv2.dk/fodbold</x:v>
      </x:c>
      <x:c r="E153" s="52" t="str">
        <x:v>TV/Fachredaktion</x:v>
      </x:c>
      <x:c r="F153" s="52" t="str">
        <x:v>A2</x:v>
      </x:c>
      <x:c r="G153" s="52" t="n">
        <x:v>1</x:v>
      </x:c>
      <x:c r="H153" s="52" t="str">
        <x:v>Bestätigungen, Interviews, Transfers</x:v>
      </x:c>
      <x:c r="I153" s="52" t="str">
        <x:v>Breit</x:v>
      </x:c>
      <x:c r="J153" s="52" t="str">
        <x:v>Frei/Abo</x:v>
      </x:c>
      <x:c r="K153" s="52" t="str">
        <x:v>DA</x:v>
      </x:c>
      <x:c r="L153" s="53" t="str"/>
    </x:row>
    <x:row r="154">
      <x:c r="A154" s="36" t="str">
        <x:v>Dänemark</x:v>
      </x:c>
      <x:c r="B154" s="36" t="str">
        <x:v>Alle Profiligen</x:v>
      </x:c>
      <x:c r="C154" s="36" t="str">
        <x:v>DR Sporten Fodbold</x:v>
      </x:c>
      <x:c r="D154" s="36" t="str">
        <x:v>https://www.dr.dk/sporten/fodbold</x:v>
      </x:c>
      <x:c r="E154" s="36" t="str">
        <x:v>Öffentlich-rechtlich</x:v>
      </x:c>
      <x:c r="F154" s="36" t="str">
        <x:v>A2</x:v>
      </x:c>
      <x:c r="G154" s="36" t="n">
        <x:v>1</x:v>
      </x:c>
      <x:c r="H154" s="36" t="str">
        <x:v>Bestätigte News und Interviews</x:v>
      </x:c>
      <x:c r="I154" s="36" t="str">
        <x:v>Breit</x:v>
      </x:c>
      <x:c r="J154" s="36" t="str">
        <x:v>Frei</x:v>
      </x:c>
      <x:c r="K154" s="36" t="str">
        <x:v>DA</x:v>
      </x:c>
      <x:c r="L154" s="37" t="str"/>
    </x:row>
    <x:row r="155">
      <x:c r="A155" s="52" t="str">
        <x:v>Dänemark</x:v>
      </x:c>
      <x:c r="B155" s="52" t="str">
        <x:v>Superliga</x:v>
      </x:c>
      <x:c r="C155" s="52" t="str">
        <x:v>Ekstra Bladet Fodbold</x:v>
      </x:c>
      <x:c r="D155" s="52" t="str">
        <x:v>https://ekstrabladet.dk/sport/fodbold/</x:v>
      </x:c>
      <x:c r="E155" s="52" t="str">
        <x:v>Nationales Medium</x:v>
      </x:c>
      <x:c r="F155" s="52" t="str">
        <x:v>B</x:v>
      </x:c>
      <x:c r="G155" s="52" t="n">
        <x:v>1</x:v>
      </x:c>
      <x:c r="H155" s="52" t="str">
        <x:v>Transfers und Exklusives</x:v>
      </x:c>
      <x:c r="I155" s="52" t="str">
        <x:v>Breit</x:v>
      </x:c>
      <x:c r="J155" s="52" t="str">
        <x:v>Abo/Frei</x:v>
      </x:c>
      <x:c r="K155" s="52" t="str">
        <x:v>DA</x:v>
      </x:c>
      <x:c r="L155" s="53" t="str"/>
    </x:row>
    <x:row r="156">
      <x:c r="A156" s="36" t="str">
        <x:v>Dänemark</x:v>
      </x:c>
      <x:c r="B156" s="36" t="str">
        <x:v>Superliga / 1. Division</x:v>
      </x:c>
      <x:c r="C156" s="36" t="str">
        <x:v>B.T. Fodbold</x:v>
      </x:c>
      <x:c r="D156" s="36" t="str">
        <x:v>https://www.bt.dk/fodbold</x:v>
      </x:c>
      <x:c r="E156" s="36" t="str">
        <x:v>Nationales Medium</x:v>
      </x:c>
      <x:c r="F156" s="36" t="str">
        <x:v>B</x:v>
      </x:c>
      <x:c r="G156" s="36" t="n">
        <x:v>1</x:v>
      </x:c>
      <x:c r="H156" s="36" t="str">
        <x:v>Transfers und Club-News</x:v>
      </x:c>
      <x:c r="I156" s="36" t="str">
        <x:v>Breit</x:v>
      </x:c>
      <x:c r="J156" s="36" t="str">
        <x:v>Abo/Frei</x:v>
      </x:c>
      <x:c r="K156" s="36" t="str">
        <x:v>DA</x:v>
      </x:c>
      <x:c r="L156" s="37" t="str"/>
    </x:row>
    <x:row r="157">
      <x:c r="A157" s="52" t="str">
        <x:v>Dänemark</x:v>
      </x:c>
      <x:c r="B157" s="52" t="str">
        <x:v>Alle Clubs</x:v>
      </x:c>
      <x:c r="C157" s="52" t="str">
        <x:v>Regionale Tageszeitungen</x:v>
      </x:c>
      <x:c r="D157" s="52" t="str"/>
      <x:c r="E157" s="52" t="str">
        <x:v>Regionalmedium</x:v>
      </x:c>
      <x:c r="F157" s="52" t="str">
        <x:v>A2/B</x:v>
      </x:c>
      <x:c r="G157" s="52" t="n">
        <x:v>1</x:v>
      </x:c>
      <x:c r="H157" s="52" t="str">
        <x:v>Lokale Club-Reporter</x:v>
      </x:c>
      <x:c r="I157" s="52" t="str">
        <x:v>Clubbezogen</x:v>
      </x:c>
      <x:c r="J157" s="52" t="str">
        <x:v>Abo/Frei</x:v>
      </x:c>
      <x:c r="K157" s="52" t="str">
        <x:v>DA</x:v>
      </x:c>
      <x:c r="L157" s="53" t="str">
        <x:v>Nordjyske, JydskeVestkysten, Fyens Stiftstidende, Aarhus Stiftstidende u.a.</x:v>
      </x:c>
    </x:row>
    <x:row r="158">
      <x:c r="A158" s="36" t="str">
        <x:v>Dänemark</x:v>
      </x:c>
      <x:c r="B158" s="36" t="str">
        <x:v>Alle Clubs</x:v>
      </x:c>
      <x:c r="C158" s="36" t="str">
        <x:v>Offizielle Club-Websites und Social-Kanäle</x:v>
      </x:c>
      <x:c r="D158" s="36" t="str"/>
      <x:c r="E158" s="36" t="str">
        <x:v>Primärquelle</x:v>
      </x:c>
      <x:c r="F158" s="36" t="str">
        <x:v>A1</x:v>
      </x:c>
      <x:c r="G158" s="36" t="n">
        <x:v>1</x:v>
      </x:c>
      <x:c r="H158" s="36" t="str">
        <x:v>Bestätigungen und direkte Aussagen</x:v>
      </x:c>
      <x:c r="I158" s="36" t="str">
        <x:v>Jeder Club einzeln</x:v>
      </x:c>
      <x:c r="J158" s="36" t="str">
        <x:v>Frei</x:v>
      </x:c>
      <x:c r="K158" s="36" t="str">
        <x:v>DA</x:v>
      </x:c>
      <x:c r="L158" s="37" t="str"/>
    </x:row>
    <x:row r="159">
      <x:c r="A159" s="52" t="str">
        <x:v>USA</x:v>
      </x:c>
      <x:c r="B159" s="52" t="str">
        <x:v>MLS</x:v>
      </x:c>
      <x:c r="C159" s="52" t="str">
        <x:v>MLSsoccer.com</x:v>
      </x:c>
      <x:c r="D159" s="52" t="str">
        <x:v>https://www.mlssoccer.com/</x:v>
      </x:c>
      <x:c r="E159" s="52" t="str">
        <x:v>Offizielle Liga</x:v>
      </x:c>
      <x:c r="F159" s="52" t="str">
        <x:v>A1</x:v>
      </x:c>
      <x:c r="G159" s="52" t="n">
        <x:v>1</x:v>
      </x:c>
      <x:c r="H159" s="52" t="str">
        <x:v>Transfer Tracker, Kaderregeln, Club-News</x:v>
      </x:c>
      <x:c r="I159" s="52" t="str">
        <x:v>Alle MLS-Clubs</x:v>
      </x:c>
      <x:c r="J159" s="52" t="str">
        <x:v>Frei / Lizenz prüfen</x:v>
      </x:c>
      <x:c r="K159" s="52" t="str">
        <x:v>EN</x:v>
      </x:c>
      <x:c r="L159" s="53" t="str"/>
    </x:row>
    <x:row r="160">
      <x:c r="A160" s="36" t="str">
        <x:v>USA</x:v>
      </x:c>
      <x:c r="B160" s="36" t="str">
        <x:v>USL Championship</x:v>
      </x:c>
      <x:c r="C160" s="36" t="str">
        <x:v>USLChampionship.com</x:v>
      </x:c>
      <x:c r="D160" s="36" t="str">
        <x:v>https://www.uslchampionship.com/</x:v>
      </x:c>
      <x:c r="E160" s="36" t="str">
        <x:v>Offizielle Liga</x:v>
      </x:c>
      <x:c r="F160" s="36" t="str">
        <x:v>A1</x:v>
      </x:c>
      <x:c r="G160" s="36" t="n">
        <x:v>1</x:v>
      </x:c>
      <x:c r="H160" s="36" t="str">
        <x:v>Offizielle News, Clubs, Stats</x:v>
      </x:c>
      <x:c r="I160" s="36" t="str">
        <x:v>USL Championship</x:v>
      </x:c>
      <x:c r="J160" s="36" t="str">
        <x:v>Frei / Lizenz prüfen</x:v>
      </x:c>
      <x:c r="K160" s="36" t="str">
        <x:v>EN</x:v>
      </x:c>
      <x:c r="L160" s="37" t="str"/>
    </x:row>
    <x:row r="161">
      <x:c r="A161" s="52" t="str">
        <x:v>USA</x:v>
      </x:c>
      <x:c r="B161" s="52" t="str">
        <x:v>National</x:v>
      </x:c>
      <x:c r="C161" s="52" t="str">
        <x:v>U.S. Soccer</x:v>
      </x:c>
      <x:c r="D161" s="52" t="str">
        <x:v>https://www.ussoccer.com/</x:v>
      </x:c>
      <x:c r="E161" s="52" t="str">
        <x:v>Offizieller Verband</x:v>
      </x:c>
      <x:c r="F161" s="52" t="str">
        <x:v>A1</x:v>
      </x:c>
      <x:c r="G161" s="52" t="n">
        <x:v>1</x:v>
      </x:c>
      <x:c r="H161" s="52" t="str">
        <x:v>Verbandsnews, Nationalteams, Wettbewerbe</x:v>
      </x:c>
      <x:c r="I161" s="52" t="str">
        <x:v>USA</x:v>
      </x:c>
      <x:c r="J161" s="52" t="str">
        <x:v>Frei</x:v>
      </x:c>
      <x:c r="K161" s="52" t="str">
        <x:v>EN</x:v>
      </x:c>
      <x:c r="L161" s="53" t="str"/>
    </x:row>
    <x:row r="162">
      <x:c r="A162" s="36" t="str">
        <x:v>USA</x:v>
      </x:c>
      <x:c r="B162" s="36" t="str">
        <x:v>MLS</x:v>
      </x:c>
      <x:c r="C162" s="36" t="str">
        <x:v>The Athletic Soccer</x:v>
      </x:c>
      <x:c r="D162" s="36" t="str">
        <x:v>https://www.nytimes.com/athletic/football/mls/</x:v>
      </x:c>
      <x:c r="E162" s="36" t="str">
        <x:v>Premium-Fachmedium</x:v>
      </x:c>
      <x:c r="F162" s="36" t="str">
        <x:v>A2</x:v>
      </x:c>
      <x:c r="G162" s="36" t="n">
        <x:v>1</x:v>
      </x:c>
      <x:c r="H162" s="36" t="str">
        <x:v>Transfers, Club-Beat, Hintergründe</x:v>
      </x:c>
      <x:c r="I162" s="36" t="str">
        <x:v>MLS</x:v>
      </x:c>
      <x:c r="J162" s="36" t="str">
        <x:v>Abo</x:v>
      </x:c>
      <x:c r="K162" s="36" t="str">
        <x:v>EN</x:v>
      </x:c>
      <x:c r="L162" s="37" t="str"/>
    </x:row>
    <x:row r="163">
      <x:c r="A163" s="52" t="str">
        <x:v>USA</x:v>
      </x:c>
      <x:c r="B163" s="52" t="str">
        <x:v>MLS</x:v>
      </x:c>
      <x:c r="C163" s="52" t="str">
        <x:v>Tom Bogert</x:v>
      </x:c>
      <x:c r="D163" s="52" t="str">
        <x:v>https://www.givemesport.com/author/tom-bogert/</x:v>
      </x:c>
      <x:c r="E163" s="52" t="str">
        <x:v>Named Insider/Reporter</x:v>
      </x:c>
      <x:c r="F163" s="52" t="str">
        <x:v>A2</x:v>
      </x:c>
      <x:c r="G163" s="52" t="n">
        <x:v>1</x:v>
      </x:c>
      <x:c r="H163" s="52" t="str">
        <x:v>MLS-Transfers und Marktinformationen</x:v>
      </x:c>
      <x:c r="I163" s="52" t="str">
        <x:v>MLS</x:v>
      </x:c>
      <x:c r="J163" s="52" t="str">
        <x:v>Frei</x:v>
      </x:c>
      <x:c r="K163" s="52" t="str">
        <x:v>EN</x:v>
      </x:c>
      <x:c r="L163" s="53" t="str"/>
    </x:row>
    <x:row r="164">
      <x:c r="A164" s="36" t="str">
        <x:v>USA</x:v>
      </x:c>
      <x:c r="B164" s="36" t="str">
        <x:v>MLS / USMNT</x:v>
      </x:c>
      <x:c r="C164" s="36" t="str">
        <x:v>ESPN Soccer</x:v>
      </x:c>
      <x:c r="D164" s="36" t="str">
        <x:v>https://www.espn.com/soccer/</x:v>
      </x:c>
      <x:c r="E164" s="36" t="str">
        <x:v>Nationales Sportmedium</x:v>
      </x:c>
      <x:c r="F164" s="36" t="str">
        <x:v>A2</x:v>
      </x:c>
      <x:c r="G164" s="36" t="n">
        <x:v>1</x:v>
      </x:c>
      <x:c r="H164" s="36" t="str">
        <x:v>Transfers, Liga- und Nationalteam-News</x:v>
      </x:c>
      <x:c r="I164" s="36" t="str">
        <x:v>Breit</x:v>
      </x:c>
      <x:c r="J164" s="36" t="str">
        <x:v>Frei/Abo</x:v>
      </x:c>
      <x:c r="K164" s="36" t="str">
        <x:v>EN</x:v>
      </x:c>
      <x:c r="L164" s="37" t="str"/>
    </x:row>
    <x:row r="165">
      <x:c r="A165" s="52" t="str">
        <x:v>USA</x:v>
      </x:c>
      <x:c r="B165" s="52" t="str">
        <x:v>MLS / USMNT</x:v>
      </x:c>
      <x:c r="C165" s="52" t="str">
        <x:v>CBS Sports Golazo</x:v>
      </x:c>
      <x:c r="D165" s="52" t="str">
        <x:v>https://www.cbssports.com/soccer/</x:v>
      </x:c>
      <x:c r="E165" s="52" t="str">
        <x:v>TV/Digital</x:v>
      </x:c>
      <x:c r="F165" s="52" t="str">
        <x:v>A2/B</x:v>
      </x:c>
      <x:c r="G165" s="52" t="n">
        <x:v>1</x:v>
      </x:c>
      <x:c r="H165" s="52" t="str">
        <x:v>Breaking News und Interviews</x:v>
      </x:c>
      <x:c r="I165" s="52" t="str">
        <x:v>Breit</x:v>
      </x:c>
      <x:c r="J165" s="52" t="str">
        <x:v>Frei</x:v>
      </x:c>
      <x:c r="K165" s="52" t="str">
        <x:v>EN</x:v>
      </x:c>
      <x:c r="L165" s="53" t="str"/>
    </x:row>
    <x:row r="166">
      <x:c r="A166" s="36" t="str">
        <x:v>USA</x:v>
      </x:c>
      <x:c r="B166" s="36" t="str">
        <x:v>MLS / USL</x:v>
      </x:c>
      <x:c r="C166" s="36" t="str">
        <x:v>Soccer America</x:v>
      </x:c>
      <x:c r="D166" s="36" t="str">
        <x:v>https://www.socceramerica.com/</x:v>
      </x:c>
      <x:c r="E166" s="36" t="str">
        <x:v>Fachmedium</x:v>
      </x:c>
      <x:c r="F166" s="36" t="str">
        <x:v>A2/B</x:v>
      </x:c>
      <x:c r="G166" s="36" t="n">
        <x:v>1</x:v>
      </x:c>
      <x:c r="H166" s="36" t="str">
        <x:v>USA-spezifische Club- und Marktnews</x:v>
      </x:c>
      <x:c r="I166" s="36" t="str">
        <x:v>Breit</x:v>
      </x:c>
      <x:c r="J166" s="36" t="str">
        <x:v>Abo/Frei</x:v>
      </x:c>
      <x:c r="K166" s="36" t="str">
        <x:v>EN</x:v>
      </x:c>
      <x:c r="L166" s="37" t="str"/>
    </x:row>
    <x:row r="167">
      <x:c r="A167" s="52" t="str">
        <x:v>USA</x:v>
      </x:c>
      <x:c r="B167" s="52" t="str">
        <x:v>MLS / USL</x:v>
      </x:c>
      <x:c r="C167" s="52" t="str">
        <x:v>Backheeled</x:v>
      </x:c>
      <x:c r="D167" s="52" t="str">
        <x:v>https://www.backheeled.com/</x:v>
      </x:c>
      <x:c r="E167" s="52" t="str">
        <x:v>Digitales Fachmedium</x:v>
      </x:c>
      <x:c r="F167" s="52" t="str">
        <x:v>B</x:v>
      </x:c>
      <x:c r="G167" s="52" t="n">
        <x:v>2</x:v>
      </x:c>
      <x:c r="H167" s="52" t="str">
        <x:v>Analysen, Club- und Ligainsider</x:v>
      </x:c>
      <x:c r="I167" s="52" t="str">
        <x:v>MLS/USL</x:v>
      </x:c>
      <x:c r="J167" s="52" t="str">
        <x:v>Abo</x:v>
      </x:c>
      <x:c r="K167" s="52" t="str">
        <x:v>EN</x:v>
      </x:c>
      <x:c r="L167" s="53" t="str"/>
    </x:row>
    <x:row r="168">
      <x:c r="A168" s="36" t="str">
        <x:v>USA</x:v>
      </x:c>
      <x:c r="B168" s="36" t="str">
        <x:v>MLS</x:v>
      </x:c>
      <x:c r="C168" s="36" t="str">
        <x:v>MLSPA Salary Guide</x:v>
      </x:c>
      <x:c r="D168" s="36" t="str">
        <x:v>https://mlsplayers.org/resources/salary-guide</x:v>
      </x:c>
      <x:c r="E168" s="36" t="str">
        <x:v>Spielergewerkschaft</x:v>
      </x:c>
      <x:c r="F168" s="36" t="str">
        <x:v>A1</x:v>
      </x:c>
      <x:c r="G168" s="36" t="n">
        <x:v>1</x:v>
      </x:c>
      <x:c r="H168" s="36" t="str">
        <x:v>Offizielle Gehaltsdaten</x:v>
      </x:c>
      <x:c r="I168" s="36" t="str">
        <x:v>MLS-Spieler</x:v>
      </x:c>
      <x:c r="J168" s="36" t="str">
        <x:v>Frei</x:v>
      </x:c>
      <x:c r="K168" s="36" t="str">
        <x:v>EN</x:v>
      </x:c>
      <x:c r="L168" s="37" t="str"/>
    </x:row>
    <x:row r="169">
      <x:c r="A169" s="52" t="str">
        <x:v>USA</x:v>
      </x:c>
      <x:c r="B169" s="52" t="str">
        <x:v>MLS</x:v>
      </x:c>
      <x:c r="C169" s="52" t="str">
        <x:v>MLS Roster Rules</x:v>
      </x:c>
      <x:c r="D169" s="52" t="str">
        <x:v>https://www.mlssoccer.com/about/roster-rules-and-regulations</x:v>
      </x:c>
      <x:c r="E169" s="52" t="str">
        <x:v>Offizielle Liga-Dokumente</x:v>
      </x:c>
      <x:c r="F169" s="52" t="str">
        <x:v>A1</x:v>
      </x:c>
      <x:c r="G169" s="52" t="n">
        <x:v>1</x:v>
      </x:c>
      <x:c r="H169" s="52" t="str">
        <x:v>Roster Slots, GAM/TAM, Mechanismen</x:v>
      </x:c>
      <x:c r="I169" s="52" t="str">
        <x:v>MLS</x:v>
      </x:c>
      <x:c r="J169" s="52" t="str">
        <x:v>Frei</x:v>
      </x:c>
      <x:c r="K169" s="52" t="str">
        <x:v>EN</x:v>
      </x:c>
      <x:c r="L169" s="53" t="str"/>
    </x:row>
    <x:row r="170">
      <x:c r="A170" s="36" t="str">
        <x:v>USA</x:v>
      </x:c>
      <x:c r="B170" s="36" t="str">
        <x:v>Alle Clubs</x:v>
      </x:c>
      <x:c r="C170" s="36" t="str">
        <x:v>Lokale Beat-Reporter und Regionalmedien</x:v>
      </x:c>
      <x:c r="D170" s="36" t="str"/>
      <x:c r="E170" s="36" t="str">
        <x:v>Lokales Beat-Netzwerk</x:v>
      </x:c>
      <x:c r="F170" s="36" t="str">
        <x:v>A2/B</x:v>
      </x:c>
      <x:c r="G170" s="36" t="n">
        <x:v>1</x:v>
      </x:c>
      <x:c r="H170" s="36" t="str">
        <x:v>Club-spezifische Insider und Verletzungen</x:v>
      </x:c>
      <x:c r="I170" s="36" t="str">
        <x:v>Jeder Club einzeln</x:v>
      </x:c>
      <x:c r="J170" s="36" t="str">
        <x:v>Abo/Frei</x:v>
      </x:c>
      <x:c r="K170" s="36" t="str">
        <x:v>EN</x:v>
      </x:c>
      <x:c r="L170" s="37" t="str">
        <x:v>Für jeden Club mindestens 2 benannte Reporter erfassen</x:v>
      </x:c>
    </x:row>
    <x:row r="171">
      <x:c r="A171" s="52" t="str">
        <x:v>USA</x:v>
      </x:c>
      <x:c r="B171" s="52" t="str">
        <x:v>Alle Clubs</x:v>
      </x:c>
      <x:c r="C171" s="52" t="str">
        <x:v>Offizielle Club-Websites und Social-Kanäle</x:v>
      </x:c>
      <x:c r="D171" s="52" t="str"/>
      <x:c r="E171" s="52" t="str">
        <x:v>Primärquelle</x:v>
      </x:c>
      <x:c r="F171" s="52" t="str">
        <x:v>A1</x:v>
      </x:c>
      <x:c r="G171" s="52" t="n">
        <x:v>1</x:v>
      </x:c>
      <x:c r="H171" s="52" t="str">
        <x:v>Bestätigungen und Roster Moves</x:v>
      </x:c>
      <x:c r="I171" s="52" t="str">
        <x:v>Jeder Club einzeln</x:v>
      </x:c>
      <x:c r="J171" s="52" t="str">
        <x:v>Frei</x:v>
      </x:c>
      <x:c r="K171" s="52" t="str">
        <x:v>EN</x:v>
      </x:c>
      <x:c r="L171" s="53" t="str"/>
    </x:row>
    <x:row r="172">
      <x:c r="A172" s="36" t="str">
        <x:v>China</x:v>
      </x:c>
      <x:c r="B172" s="36" t="str">
        <x:v>CSL / China League One / Two</x:v>
      </x:c>
      <x:c r="C172" s="36" t="str">
        <x:v>Chinese Football Association</x:v>
      </x:c>
      <x:c r="D172" s="36" t="str">
        <x:v>https://www.thecfa.cn/</x:v>
      </x:c>
      <x:c r="E172" s="36" t="str">
        <x:v>Offizieller Verband</x:v>
      </x:c>
      <x:c r="F172" s="36" t="str">
        <x:v>A1</x:v>
      </x:c>
      <x:c r="G172" s="36" t="n">
        <x:v>1</x:v>
      </x:c>
      <x:c r="H172" s="36" t="str">
        <x:v>Wettbewerbe, Registrierung, Disziplin</x:v>
      </x:c>
      <x:c r="I172" s="36" t="str">
        <x:v>Top 3 Ebenen</x:v>
      </x:c>
      <x:c r="J172" s="36" t="str">
        <x:v>Frei / Nutzung prüfen</x:v>
      </x:c>
      <x:c r="K172" s="36" t="str">
        <x:v>ZH</x:v>
      </x:c>
      <x:c r="L172" s="37" t="str"/>
    </x:row>
    <x:row r="173">
      <x:c r="A173" s="52" t="str">
        <x:v>China</x:v>
      </x:c>
      <x:c r="B173" s="52" t="str">
        <x:v>Profiligen</x:v>
      </x:c>
      <x:c r="C173" s="52" t="str">
        <x:v>Chinese Professional Football League</x:v>
      </x:c>
      <x:c r="D173" s="52" t="str">
        <x:v>https://www.cfl-china.cn/</x:v>
      </x:c>
      <x:c r="E173" s="52" t="str">
        <x:v>Offizielle Ligaorganisation</x:v>
      </x:c>
      <x:c r="F173" s="52" t="str">
        <x:v>A1</x:v>
      </x:c>
      <x:c r="G173" s="52" t="n">
        <x:v>1</x:v>
      </x:c>
      <x:c r="H173" s="52" t="str">
        <x:v>Offizielle Liga-News und Betrieb</x:v>
      </x:c>
      <x:c r="I173" s="52" t="str">
        <x:v>CSL und Profiligen</x:v>
      </x:c>
      <x:c r="J173" s="52" t="str">
        <x:v>Frei / Nutzung prüfen</x:v>
      </x:c>
      <x:c r="K173" s="52" t="str">
        <x:v>ZH</x:v>
      </x:c>
      <x:c r="L173" s="53" t="str"/>
    </x:row>
    <x:row r="174">
      <x:c r="A174" s="36" t="str">
        <x:v>China</x:v>
      </x:c>
      <x:c r="B174" s="36" t="str">
        <x:v>CSL / League One</x:v>
      </x:c>
      <x:c r="C174" s="36" t="str">
        <x:v>Xinhua Sports</x:v>
      </x:c>
      <x:c r="D174" s="36" t="str">
        <x:v>https://english.news.cn/sports/</x:v>
      </x:c>
      <x:c r="E174" s="36" t="str">
        <x:v>Staatliche Nachrichtenagentur</x:v>
      </x:c>
      <x:c r="F174" s="36" t="str">
        <x:v>A2</x:v>
      </x:c>
      <x:c r="G174" s="36" t="n">
        <x:v>1</x:v>
      </x:c>
      <x:c r="H174" s="36" t="str">
        <x:v>Bestätigte News und Verbandsmeldungen</x:v>
      </x:c>
      <x:c r="I174" s="36" t="str">
        <x:v>Landesweit</x:v>
      </x:c>
      <x:c r="J174" s="36" t="str">
        <x:v>Frei/Lizenz</x:v>
      </x:c>
      <x:c r="K174" s="36" t="str">
        <x:v>ZH/EN</x:v>
      </x:c>
      <x:c r="L174" s="37" t="str"/>
    </x:row>
    <x:row r="175">
      <x:c r="A175" s="52" t="str">
        <x:v>China</x:v>
      </x:c>
      <x:c r="B175" s="52" t="str">
        <x:v>CSL / League One</x:v>
      </x:c>
      <x:c r="C175" s="52" t="str">
        <x:v>Sina Sports Football</x:v>
      </x:c>
      <x:c r="D175" s="52" t="str">
        <x:v>https://sports.sina.com.cn/china/</x:v>
      </x:c>
      <x:c r="E175" s="52" t="str">
        <x:v>Nationales Sportportal</x:v>
      </x:c>
      <x:c r="F175" s="52" t="str">
        <x:v>B</x:v>
      </x:c>
      <x:c r="G175" s="52" t="n">
        <x:v>1</x:v>
      </x:c>
      <x:c r="H175" s="52" t="str">
        <x:v>Transfers, Club-News, Live</x:v>
      </x:c>
      <x:c r="I175" s="52" t="str">
        <x:v>Breit</x:v>
      </x:c>
      <x:c r="J175" s="52" t="str">
        <x:v>Frei</x:v>
      </x:c>
      <x:c r="K175" s="52" t="str">
        <x:v>ZH</x:v>
      </x:c>
      <x:c r="L175" s="53" t="str"/>
    </x:row>
    <x:row r="176">
      <x:c r="A176" s="36" t="str">
        <x:v>China</x:v>
      </x:c>
      <x:c r="B176" s="36" t="str">
        <x:v>CSL / League One</x:v>
      </x:c>
      <x:c r="C176" s="36" t="str">
        <x:v>Dongqiudi (懂球帝)</x:v>
      </x:c>
      <x:c r="D176" s="36" t="str">
        <x:v>https://www.dongqiudi.com/</x:v>
      </x:c>
      <x:c r="E176" s="36" t="str">
        <x:v>Fußball-Spezialplattform</x:v>
      </x:c>
      <x:c r="F176" s="36" t="str">
        <x:v>B</x:v>
      </x:c>
      <x:c r="G176" s="36" t="n">
        <x:v>1</x:v>
      </x:c>
      <x:c r="H176" s="36" t="str">
        <x:v>Transfers, Club-News, lokale Quellenaggregation</x:v>
      </x:c>
      <x:c r="I176" s="36" t="str">
        <x:v>Sehr breit</x:v>
      </x:c>
      <x:c r="J176" s="36" t="str">
        <x:v>Frei</x:v>
      </x:c>
      <x:c r="K176" s="36" t="str">
        <x:v>ZH</x:v>
      </x:c>
      <x:c r="L176" s="37" t="str">
        <x:v>Primärquelle prüfen</x:v>
      </x:c>
    </x:row>
    <x:row r="177">
      <x:c r="A177" s="52" t="str">
        <x:v>China</x:v>
      </x:c>
      <x:c r="B177" s="52" t="str">
        <x:v>CSL / League One</x:v>
      </x:c>
      <x:c r="C177" s="52" t="str">
        <x:v>Titan Sports (体坛周报)</x:v>
      </x:c>
      <x:c r="D177" s="52" t="str">
        <x:v>https://www.ttplus.cn/</x:v>
      </x:c>
      <x:c r="E177" s="52" t="str">
        <x:v>Nationales Sportmedium</x:v>
      </x:c>
      <x:c r="F177" s="52" t="str">
        <x:v>A2/B</x:v>
      </x:c>
      <x:c r="G177" s="52" t="n">
        <x:v>1</x:v>
      </x:c>
      <x:c r="H177" s="52" t="str">
        <x:v>Exklusive Interviews und Transfers</x:v>
      </x:c>
      <x:c r="I177" s="52" t="str">
        <x:v>Breit</x:v>
      </x:c>
      <x:c r="J177" s="52" t="str">
        <x:v>Frei/Abo</x:v>
      </x:c>
      <x:c r="K177" s="52" t="str">
        <x:v>ZH</x:v>
      </x:c>
      <x:c r="L177" s="53" t="str"/>
    </x:row>
    <x:row r="178">
      <x:c r="A178" s="36" t="str">
        <x:v>China</x:v>
      </x:c>
      <x:c r="B178" s="36" t="str">
        <x:v>CSL / League One</x:v>
      </x:c>
      <x:c r="C178" s="36" t="str">
        <x:v>Soccer News / 足球报</x:v>
      </x:c>
      <x:c r="D178" s="36" t="str">
        <x:v>https://www.zuqiubao.cn/</x:v>
      </x:c>
      <x:c r="E178" s="36" t="str">
        <x:v>Fußball-Fachmedium</x:v>
      </x:c>
      <x:c r="F178" s="36" t="str">
        <x:v>A2/B</x:v>
      </x:c>
      <x:c r="G178" s="36" t="n">
        <x:v>1</x:v>
      </x:c>
      <x:c r="H178" s="36" t="str">
        <x:v>Club-Insider und Transfers</x:v>
      </x:c>
      <x:c r="I178" s="36" t="str">
        <x:v>Breit</x:v>
      </x:c>
      <x:c r="J178" s="36" t="str">
        <x:v>Frei</x:v>
      </x:c>
      <x:c r="K178" s="36" t="str">
        <x:v>ZH</x:v>
      </x:c>
      <x:c r="L178" s="37" t="str"/>
    </x:row>
    <x:row r="179">
      <x:c r="A179" s="52" t="str">
        <x:v>China</x:v>
      </x:c>
      <x:c r="B179" s="52" t="str">
        <x:v>CSL / League One</x:v>
      </x:c>
      <x:c r="C179" s="52" t="str">
        <x:v>Tencent Sports</x:v>
      </x:c>
      <x:c r="D179" s="52" t="str">
        <x:v>https://sports.qq.com/</x:v>
      </x:c>
      <x:c r="E179" s="52" t="str">
        <x:v>Nationales Digitalmedium</x:v>
      </x:c>
      <x:c r="F179" s="52" t="str">
        <x:v>B</x:v>
      </x:c>
      <x:c r="G179" s="52" t="n">
        <x:v>1</x:v>
      </x:c>
      <x:c r="H179" s="52" t="str">
        <x:v>News, Videos, Club-Updates</x:v>
      </x:c>
      <x:c r="I179" s="52" t="str">
        <x:v>Breit</x:v>
      </x:c>
      <x:c r="J179" s="52" t="str">
        <x:v>Frei</x:v>
      </x:c>
      <x:c r="K179" s="52" t="str">
        <x:v>ZH</x:v>
      </x:c>
      <x:c r="L179" s="53" t="str"/>
    </x:row>
    <x:row r="180">
      <x:c r="A180" s="36" t="str">
        <x:v>China</x:v>
      </x:c>
      <x:c r="B180" s="36" t="str">
        <x:v>CSL / League One</x:v>
      </x:c>
      <x:c r="C180" s="36" t="str">
        <x:v>NetEase Sports</x:v>
      </x:c>
      <x:c r="D180" s="36" t="str">
        <x:v>https://sports.163.com/</x:v>
      </x:c>
      <x:c r="E180" s="36" t="str">
        <x:v>Nationales Digitalmedium</x:v>
      </x:c>
      <x:c r="F180" s="36" t="str">
        <x:v>B</x:v>
      </x:c>
      <x:c r="G180" s="36" t="n">
        <x:v>1</x:v>
      </x:c>
      <x:c r="H180" s="36" t="str">
        <x:v>Transfers und Club-News</x:v>
      </x:c>
      <x:c r="I180" s="36" t="str">
        <x:v>Breit</x:v>
      </x:c>
      <x:c r="J180" s="36" t="str">
        <x:v>Frei</x:v>
      </x:c>
      <x:c r="K180" s="36" t="str">
        <x:v>ZH</x:v>
      </x:c>
      <x:c r="L180" s="37" t="str"/>
    </x:row>
    <x:row r="181">
      <x:c r="A181" s="52" t="str">
        <x:v>China</x:v>
      </x:c>
      <x:c r="B181" s="52" t="str">
        <x:v>CSL / League One</x:v>
      </x:c>
      <x:c r="C181" s="52" t="str">
        <x:v>Sohu Sports</x:v>
      </x:c>
      <x:c r="D181" s="52" t="str">
        <x:v>https://sports.sohu.com/</x:v>
      </x:c>
      <x:c r="E181" s="52" t="str">
        <x:v>Nationales Digitalmedium</x:v>
      </x:c>
      <x:c r="F181" s="52" t="str">
        <x:v>B/C</x:v>
      </x:c>
      <x:c r="G181" s="52" t="n">
        <x:v>2</x:v>
      </x:c>
      <x:c r="H181" s="52" t="str">
        <x:v>News-Aggregation und Gerüchte</x:v>
      </x:c>
      <x:c r="I181" s="52" t="str">
        <x:v>Breit</x:v>
      </x:c>
      <x:c r="J181" s="52" t="str">
        <x:v>Frei</x:v>
      </x:c>
      <x:c r="K181" s="52" t="str">
        <x:v>ZH</x:v>
      </x:c>
      <x:c r="L181" s="53" t="str">
        <x:v>Mit Primärquellen verifizieren</x:v>
      </x:c>
    </x:row>
    <x:row r="182">
      <x:c r="A182" s="36" t="str">
        <x:v>China</x:v>
      </x:c>
      <x:c r="B182" s="36" t="str">
        <x:v>CSL</x:v>
      </x:c>
      <x:c r="C182" s="36" t="str">
        <x:v>CCTV Sports / CCTV5</x:v>
      </x:c>
      <x:c r="D182" s="36" t="str">
        <x:v>https://sports.cctv.com/</x:v>
      </x:c>
      <x:c r="E182" s="36" t="str">
        <x:v>Staatlicher TV-Sender</x:v>
      </x:c>
      <x:c r="F182" s="36" t="str">
        <x:v>A2</x:v>
      </x:c>
      <x:c r="G182" s="36" t="n">
        <x:v>1</x:v>
      </x:c>
      <x:c r="H182" s="36" t="str">
        <x:v>Offizielle Interviews und Liga-News</x:v>
      </x:c>
      <x:c r="I182" s="36" t="str">
        <x:v>Topliga</x:v>
      </x:c>
      <x:c r="J182" s="36" t="str">
        <x:v>Frei</x:v>
      </x:c>
      <x:c r="K182" s="36" t="str">
        <x:v>ZH</x:v>
      </x:c>
      <x:c r="L182" s="37" t="str"/>
    </x:row>
    <x:row r="183">
      <x:c r="A183" s="52" t="str">
        <x:v>China</x:v>
      </x:c>
      <x:c r="B183" s="52" t="str">
        <x:v>Alle Clubs</x:v>
      </x:c>
      <x:c r="C183" s="52" t="str">
        <x:v>Offizielle Weibo- und WeChat-Kanäle</x:v>
      </x:c>
      <x:c r="D183" s="52" t="str"/>
      <x:c r="E183" s="52" t="str">
        <x:v>Primärquelle</x:v>
      </x:c>
      <x:c r="F183" s="52" t="str">
        <x:v>A1</x:v>
      </x:c>
      <x:c r="G183" s="52" t="n">
        <x:v>1</x:v>
      </x:c>
      <x:c r="H183" s="52" t="str">
        <x:v>Bestätigungen, Fotos, Reise- und Kadernews</x:v>
      </x:c>
      <x:c r="I183" s="52" t="str">
        <x:v>Jeder Club einzeln</x:v>
      </x:c>
      <x:c r="J183" s="52" t="str">
        <x:v>Frei</x:v>
      </x:c>
      <x:c r="K183" s="52" t="str">
        <x:v>ZH</x:v>
      </x:c>
      <x:c r="L183" s="53" t="str">
        <x:v>WeChat Official Accounts und Weibo API/Monitoring vorsehen</x:v>
      </x:c>
    </x:row>
    <x:row r="184">
      <x:c r="A184" s="36" t="str">
        <x:v>China</x:v>
      </x:c>
      <x:c r="B184" s="36" t="str">
        <x:v>Alle Clubs</x:v>
      </x:c>
      <x:c r="C184" s="36" t="str">
        <x:v>Lokale Stadtmedien und Provinzsender</x:v>
      </x:c>
      <x:c r="D184" s="36" t="str"/>
      <x:c r="E184" s="36" t="str">
        <x:v>Regionalmedium</x:v>
      </x:c>
      <x:c r="F184" s="36" t="str">
        <x:v>A2/B</x:v>
      </x:c>
      <x:c r="G184" s="36" t="n">
        <x:v>1</x:v>
      </x:c>
      <x:c r="H184" s="36" t="str">
        <x:v>Club-Insider und Trainingsnews</x:v>
      </x:c>
      <x:c r="I184" s="36" t="str">
        <x:v>Clubbezogen</x:v>
      </x:c>
      <x:c r="J184" s="36" t="str">
        <x:v>Frei</x:v>
      </x:c>
      <x:c r="K184" s="36" t="str">
        <x:v>ZH</x:v>
      </x:c>
      <x:c r="L184" s="37" t="str"/>
    </x:row>
    <x:row r="185">
      <x:c r="A185" s="56" t="str">
        <x:v>China</x:v>
      </x:c>
      <x:c r="B185" s="56" t="str">
        <x:v>Internationale Einordnung</x:v>
      </x:c>
      <x:c r="C185" s="56" t="str">
        <x:v>South China Morning Post – Football</x:v>
      </x:c>
      <x:c r="D185" s="56" t="str">
        <x:v>https://www.scmp.com/sport/football</x:v>
      </x:c>
      <x:c r="E185" s="56" t="str">
        <x:v>Internationales Qualitätsmedium</x:v>
      </x:c>
      <x:c r="F185" s="56" t="str">
        <x:v>A2</x:v>
      </x:c>
      <x:c r="G185" s="56" t="n">
        <x:v>2</x:v>
      </x:c>
      <x:c r="H185" s="56" t="str">
        <x:v>Englische Einordnung chinesischer Fußballthemen</x:v>
      </x:c>
      <x:c r="I185" s="56" t="str">
        <x:v>China/Asien</x:v>
      </x:c>
      <x:c r="J185" s="56" t="str">
        <x:v>Abo/Frei</x:v>
      </x:c>
      <x:c r="K185" s="56" t="str">
        <x:v>EN</x:v>
      </x:c>
      <x:c r="L185" s="57" t="str"/>
    </x:row>
  </x:sheetData>
  <x:mergeCells>
    <x:mergeCell ref="A1:L1"/>
    <x:mergeCell ref="A2:L2"/>
  </x:mergeCells>
  <x:conditionalFormatting sqref="F5:F185">
    <x:cfRule type="expression" dxfId="0" priority="1">
      <x:formula>F5="A1"</x:formula>
    </x:cfRule>
    <x:cfRule type="expression" dxfId="1" priority="2">
      <x:formula>F5="A2"</x:formula>
    </x:cfRule>
    <x:cfRule type="expression" dxfId="2" priority="3">
      <x:formula>F5="B"</x:formula>
    </x:cfRule>
  </x:conditionalFormatting>
  <x:conditionalFormatting sqref="G5:G185">
    <x:cfRule type="expression" dxfId="3" priority="4">
      <x:formula>G5=1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f35bb93c6145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42" hidden="0" customWidth="1"/>
    <x:col min="5" max="5" width="20" hidden="0" customWidth="1"/>
    <x:col min="6" max="6" width="12" hidden="0" customWidth="1"/>
    <x:col min="7" max="7" width="10" hidden="0" customWidth="1"/>
    <x:col min="8" max="8" width="34" hidden="0" customWidth="1"/>
    <x:col min="9" max="9" width="42" hidden="0" customWidth="1"/>
  </x:cols>
  <x:sheetData>
    <x:row r="1" ht="30" customHeight="1">
      <x:c r="A1" s="4" t="str">
        <x:v>Deutschland – 3. Liga, Regionalliga und Oberliga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11" t="str">
        <x:v>Pflichtquellen für die tiefe Abdeckung des deutschen Unterbaus. Jede Regionalliga benötigt zusätzlich pro Club mindestens eine offizielle Clubquelle, einen lokalen Beat-Reporter und ein regionales Medium.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21" t="str">
        <x:v>Ebene</x:v>
      </x:c>
      <x:c r="B4" s="21" t="str">
        <x:v>Region</x:v>
      </x:c>
      <x:c r="C4" s="21" t="str">
        <x:v>Quelle</x:v>
      </x:c>
      <x:c r="D4" s="21" t="str">
        <x:v>URL</x:v>
      </x:c>
      <x:c r="E4" s="21" t="str">
        <x:v>Quellentyp</x:v>
      </x:c>
      <x:c r="F4" s="21" t="str">
        <x:v>Vertrauen</x:v>
      </x:c>
      <x:c r="G4" s="21" t="str">
        <x:v>Priorität</x:v>
      </x:c>
      <x:c r="H4" s="21" t="str">
        <x:v>Am besten für</x:v>
      </x:c>
      <x:c r="I4" s="21" t="str">
        <x:v>Hinweise</x:v>
      </x:c>
    </x:row>
    <x:row r="5">
      <x:c r="A5" s="52" t="str">
        <x:v>3. Liga</x:v>
      </x:c>
      <x:c r="B5" s="52" t="str">
        <x:v>Bundesweit</x:v>
      </x:c>
      <x:c r="C5" s="52" t="str">
        <x:v>DFB 3. Liga</x:v>
      </x:c>
      <x:c r="D5" s="52" t="str">
        <x:v>https://www.dfb.de/maenner/ligen/3-liga</x:v>
      </x:c>
      <x:c r="E5" s="52" t="str">
        <x:v>Offiziell</x:v>
      </x:c>
      <x:c r="F5" s="52" t="str">
        <x:v>A1</x:v>
      </x:c>
      <x:c r="G5" s="52" t="n">
        <x:v>1</x:v>
      </x:c>
      <x:c r="H5" s="52" t="str">
        <x:v>Spielbetrieb, Clubs, Dokumente</x:v>
      </x:c>
      <x:c r="I5" s="53" t="str"/>
    </x:row>
    <x:row r="6">
      <x:c r="A6" s="36" t="str">
        <x:v>3. Liga</x:v>
      </x:c>
      <x:c r="B6" s="36" t="str">
        <x:v>Bundesweit</x:v>
      </x:c>
      <x:c r="C6" s="36" t="str">
        <x:v>liga3-online.de</x:v>
      </x:c>
      <x:c r="D6" s="36" t="str">
        <x:v>https://www.liga3-online.de/</x:v>
      </x:c>
      <x:c r="E6" s="36" t="str">
        <x:v>Spezialmedium</x:v>
      </x:c>
      <x:c r="F6" s="36" t="str">
        <x:v>B</x:v>
      </x:c>
      <x:c r="G6" s="36" t="n">
        <x:v>1</x:v>
      </x:c>
      <x:c r="H6" s="36" t="str">
        <x:v>Transfers, Kader, Verletzungen, Trainer</x:v>
      </x:c>
      <x:c r="I6" s="37" t="str"/>
    </x:row>
    <x:row r="7">
      <x:c r="A7" s="52" t="str">
        <x:v>3. Liga</x:v>
      </x:c>
      <x:c r="B7" s="52" t="str">
        <x:v>Bundesweit</x:v>
      </x:c>
      <x:c r="C7" s="52" t="str">
        <x:v>kicker 3. Liga</x:v>
      </x:c>
      <x:c r="D7" s="52" t="str">
        <x:v>https://www.kicker.de/3-liga/startseite</x:v>
      </x:c>
      <x:c r="E7" s="52" t="str">
        <x:v>Fachmedium</x:v>
      </x:c>
      <x:c r="F7" s="52" t="str">
        <x:v>A2</x:v>
      </x:c>
      <x:c r="G7" s="52" t="n">
        <x:v>1</x:v>
      </x:c>
      <x:c r="H7" s="52" t="str">
        <x:v>Club-News, Transfers, Daten</x:v>
      </x:c>
      <x:c r="I7" s="53" t="str"/>
    </x:row>
    <x:row r="8">
      <x:c r="A8" s="36" t="str">
        <x:v>3. Liga</x:v>
      </x:c>
      <x:c r="B8" s="36" t="str">
        <x:v>Bundesweit</x:v>
      </x:c>
      <x:c r="C8" s="36" t="str">
        <x:v>Sportschau 3. Liga</x:v>
      </x:c>
      <x:c r="D8" s="36" t="str">
        <x:v>https://www.sportschau.de/fussball/bundesliga3/</x:v>
      </x:c>
      <x:c r="E8" s="36" t="str">
        <x:v>Öffentlich-rechtlich</x:v>
      </x:c>
      <x:c r="F8" s="36" t="str">
        <x:v>A2</x:v>
      </x:c>
      <x:c r="G8" s="36" t="n">
        <x:v>1</x:v>
      </x:c>
      <x:c r="H8" s="36" t="str">
        <x:v>Bestätigte News, Interviews</x:v>
      </x:c>
      <x:c r="I8" s="37" t="str"/>
    </x:row>
    <x:row r="9">
      <x:c r="A9" s="52" t="str">
        <x:v>3. Liga</x:v>
      </x:c>
      <x:c r="B9" s="52" t="str">
        <x:v>Bundesweit</x:v>
      </x:c>
      <x:c r="C9" s="52" t="str">
        <x:v>Transfermarkt 3. Liga</x:v>
      </x:c>
      <x:c r="D9" s="52" t="str">
        <x:v>https://www.transfermarkt.de/3-liga/startseite/wettbewerb/L3</x:v>
      </x:c>
      <x:c r="E9" s="52" t="str">
        <x:v>Datenbank</x:v>
      </x:c>
      <x:c r="F9" s="52" t="str">
        <x:v>B</x:v>
      </x:c>
      <x:c r="G9" s="52" t="n">
        <x:v>1</x:v>
      </x:c>
      <x:c r="H9" s="52" t="str">
        <x:v>Kader, Verträge, Marktwerte</x:v>
      </x:c>
      <x:c r="I9" s="53" t="str">
        <x:v>Lizenz für kommerzielle Datennutzung klären</x:v>
      </x:c>
    </x:row>
    <x:row r="10">
      <x:c r="A10" s="36" t="str">
        <x:v>3. Liga</x:v>
      </x:c>
      <x:c r="B10" s="36" t="str">
        <x:v>Bundesweit</x:v>
      </x:c>
      <x:c r="C10" s="36" t="str">
        <x:v>FUSSBALL.DE</x:v>
      </x:c>
      <x:c r="D10" s="36" t="str">
        <x:v>https://www.fussball.de/</x:v>
      </x:c>
      <x:c r="E10" s="36" t="str">
        <x:v>Offizielle Plattform</x:v>
      </x:c>
      <x:c r="F10" s="36" t="str">
        <x:v>A1</x:v>
      </x:c>
      <x:c r="G10" s="36" t="n">
        <x:v>1</x:v>
      </x:c>
      <x:c r="H10" s="36" t="str">
        <x:v>Aufstellungen, Spielbetrieb, Spielerbewegungen</x:v>
      </x:c>
      <x:c r="I10" s="37" t="str"/>
    </x:row>
    <x:row r="11">
      <x:c r="A11" s="52" t="str">
        <x:v>3. Liga</x:v>
      </x:c>
      <x:c r="B11" s="52" t="str">
        <x:v>Ost</x:v>
      </x:c>
      <x:c r="C11" s="52" t="str">
        <x:v>MDR Sport</x:v>
      </x:c>
      <x:c r="D11" s="52" t="str">
        <x:v>https://www.mdr.de/sport/fussball/index.html</x:v>
      </x:c>
      <x:c r="E11" s="52" t="str">
        <x:v>Regionaler Rundfunk</x:v>
      </x:c>
      <x:c r="F11" s="52" t="str">
        <x:v>A2</x:v>
      </x:c>
      <x:c r="G11" s="52" t="n">
        <x:v>1</x:v>
      </x:c>
      <x:c r="H11" s="52" t="str">
        <x:v>Dresden, Aue, Cottbus, Halle u.a.</x:v>
      </x:c>
      <x:c r="I11" s="53" t="str"/>
    </x:row>
    <x:row r="12">
      <x:c r="A12" s="36" t="str">
        <x:v>3. Liga</x:v>
      </x:c>
      <x:c r="B12" s="36" t="str">
        <x:v>Nord</x:v>
      </x:c>
      <x:c r="C12" s="36" t="str">
        <x:v>NDR Sport</x:v>
      </x:c>
      <x:c r="D12" s="36" t="str">
        <x:v>https://www.ndr.de/sport/fussball/</x:v>
      </x:c>
      <x:c r="E12" s="36" t="str">
        <x:v>Regionaler Rundfunk</x:v>
      </x:c>
      <x:c r="F12" s="36" t="str">
        <x:v>A2</x:v>
      </x:c>
      <x:c r="G12" s="36" t="n">
        <x:v>1</x:v>
      </x:c>
      <x:c r="H12" s="36" t="str">
        <x:v>Osnabrück, Rostock und Nordclubs</x:v>
      </x:c>
      <x:c r="I12" s="37" t="str"/>
    </x:row>
    <x:row r="13">
      <x:c r="A13" s="52" t="str">
        <x:v>3. Liga</x:v>
      </x:c>
      <x:c r="B13" s="52" t="str">
        <x:v>West</x:v>
      </x:c>
      <x:c r="C13" s="52" t="str">
        <x:v>WDR Sport</x:v>
      </x:c>
      <x:c r="D13" s="52" t="str">
        <x:v>https://www1.wdr.de/sport/fussball/index.html</x:v>
      </x:c>
      <x:c r="E13" s="52" t="str">
        <x:v>Regionaler Rundfunk</x:v>
      </x:c>
      <x:c r="F13" s="52" t="str">
        <x:v>A2</x:v>
      </x:c>
      <x:c r="G13" s="52" t="n">
        <x:v>1</x:v>
      </x:c>
      <x:c r="H13" s="52" t="str">
        <x:v>NRW-Clubs</x:v>
      </x:c>
      <x:c r="I13" s="53" t="str"/>
    </x:row>
    <x:row r="14">
      <x:c r="A14" s="36" t="str">
        <x:v>3. Liga</x:v>
      </x:c>
      <x:c r="B14" s="36" t="str">
        <x:v>Süd</x:v>
      </x:c>
      <x:c r="C14" s="36" t="str">
        <x:v>BR24 / SWR Sport</x:v>
      </x:c>
      <x:c r="D14" s="36" t="str">
        <x:v>https://www.br.de/nachrichten/sport/</x:v>
      </x:c>
      <x:c r="E14" s="36" t="str">
        <x:v>Regionaler Rundfunk</x:v>
      </x:c>
      <x:c r="F14" s="36" t="str">
        <x:v>A2</x:v>
      </x:c>
      <x:c r="G14" s="36" t="n">
        <x:v>1</x:v>
      </x:c>
      <x:c r="H14" s="36" t="str">
        <x:v>Bayern und Südwest-Clubs</x:v>
      </x:c>
      <x:c r="I14" s="37" t="str"/>
    </x:row>
    <x:row r="15">
      <x:c r="A15" s="52" t="str">
        <x:v>Regionalliga</x:v>
      </x:c>
      <x:c r="B15" s="52" t="str">
        <x:v>Bayern</x:v>
      </x:c>
      <x:c r="C15" s="52" t="str">
        <x:v>Bayerischer Fußball-Verband</x:v>
      </x:c>
      <x:c r="D15" s="52" t="str">
        <x:v>https://www.bfv.de/spielbetrieb-verbandsleben/regionalliga-bayern</x:v>
      </x:c>
      <x:c r="E15" s="52" t="str">
        <x:v>Offizieller Verband</x:v>
      </x:c>
      <x:c r="F15" s="52" t="str">
        <x:v>A1</x:v>
      </x:c>
      <x:c r="G15" s="52" t="n">
        <x:v>1</x:v>
      </x:c>
      <x:c r="H15" s="52" t="str">
        <x:v>Spielbetrieb, Clubs, Verbandsmeldungen</x:v>
      </x:c>
      <x:c r="I15" s="53" t="str"/>
    </x:row>
    <x:row r="16">
      <x:c r="A16" s="36" t="str">
        <x:v>Regionalliga</x:v>
      </x:c>
      <x:c r="B16" s="36" t="str">
        <x:v>Nord</x:v>
      </x:c>
      <x:c r="C16" s="36" t="str">
        <x:v>Norddeutscher Fußball-Verband</x:v>
      </x:c>
      <x:c r="D16" s="36" t="str">
        <x:v>https://www.nordfv.de/spielbetrieb/regionalliga-herren</x:v>
      </x:c>
      <x:c r="E16" s="36" t="str">
        <x:v>Offizieller Verband</x:v>
      </x:c>
      <x:c r="F16" s="36" t="str">
        <x:v>A1</x:v>
      </x:c>
      <x:c r="G16" s="36" t="n">
        <x:v>1</x:v>
      </x:c>
      <x:c r="H16" s="36" t="str">
        <x:v>Spielbetrieb, Clubs, Dokumente</x:v>
      </x:c>
      <x:c r="I16" s="37" t="str"/>
    </x:row>
    <x:row r="17">
      <x:c r="A17" s="52" t="str">
        <x:v>Regionalliga</x:v>
      </x:c>
      <x:c r="B17" s="52" t="str">
        <x:v>Nordost</x:v>
      </x:c>
      <x:c r="C17" s="52" t="str">
        <x:v>NOFV</x:v>
      </x:c>
      <x:c r="D17" s="52" t="str">
        <x:v>https://www.nofv-online.de/</x:v>
      </x:c>
      <x:c r="E17" s="52" t="str">
        <x:v>Offizieller Verband</x:v>
      </x:c>
      <x:c r="F17" s="52" t="str">
        <x:v>A1</x:v>
      </x:c>
      <x:c r="G17" s="52" t="n">
        <x:v>1</x:v>
      </x:c>
      <x:c r="H17" s="52" t="str">
        <x:v>Spielbetrieb, Clubs, Dokumente</x:v>
      </x:c>
      <x:c r="I17" s="53" t="str"/>
    </x:row>
    <x:row r="18">
      <x:c r="A18" s="36" t="str">
        <x:v>Regionalliga</x:v>
      </x:c>
      <x:c r="B18" s="36" t="str">
        <x:v>West</x:v>
      </x:c>
      <x:c r="C18" s="36" t="str">
        <x:v>WDFV</x:v>
      </x:c>
      <x:c r="D18" s="36" t="str">
        <x:v>https://wdfv.de/spielbetrieb/regionalliga-west.html</x:v>
      </x:c>
      <x:c r="E18" s="36" t="str">
        <x:v>Offizieller Verband</x:v>
      </x:c>
      <x:c r="F18" s="36" t="str">
        <x:v>A1</x:v>
      </x:c>
      <x:c r="G18" s="36" t="n">
        <x:v>1</x:v>
      </x:c>
      <x:c r="H18" s="36" t="str">
        <x:v>Spielbetrieb, Clubs, Dokumente</x:v>
      </x:c>
      <x:c r="I18" s="37" t="str"/>
    </x:row>
    <x:row r="19">
      <x:c r="A19" s="52" t="str">
        <x:v>Regionalliga</x:v>
      </x:c>
      <x:c r="B19" s="52" t="str">
        <x:v>Südwest</x:v>
      </x:c>
      <x:c r="C19" s="52" t="str">
        <x:v>Regionalliga Südwest</x:v>
      </x:c>
      <x:c r="D19" s="52" t="str">
        <x:v>https://www.regionalliga-suedwest.de/</x:v>
      </x:c>
      <x:c r="E19" s="52" t="str">
        <x:v>Offizielle Liga</x:v>
      </x:c>
      <x:c r="F19" s="52" t="str">
        <x:v>A1</x:v>
      </x:c>
      <x:c r="G19" s="52" t="n">
        <x:v>1</x:v>
      </x:c>
      <x:c r="H19" s="52" t="str">
        <x:v>Spielbetrieb, Clubs, News</x:v>
      </x:c>
      <x:c r="I19" s="53" t="str"/>
    </x:row>
    <x:row r="20">
      <x:c r="A20" s="36" t="str">
        <x:v>Regionalliga</x:v>
      </x:c>
      <x:c r="B20" s="36" t="str">
        <x:v>Bundesweit</x:v>
      </x:c>
      <x:c r="C20" s="36" t="str">
        <x:v>FuPa Regionalliga</x:v>
      </x:c>
      <x:c r="D20" s="36" t="str">
        <x:v>https://www.fupa.net/league/regionalliga</x:v>
      </x:c>
      <x:c r="E20" s="36" t="str">
        <x:v>Regionalportal</x:v>
      </x:c>
      <x:c r="F20" s="36" t="str">
        <x:v>B</x:v>
      </x:c>
      <x:c r="G20" s="36" t="n">
        <x:v>1</x:v>
      </x:c>
      <x:c r="H20" s="36" t="str">
        <x:v>Transfers, Kader, lokale Meldungen</x:v>
      </x:c>
      <x:c r="I20" s="37" t="str"/>
    </x:row>
    <x:row r="21">
      <x:c r="A21" s="52" t="str">
        <x:v>Regionalliga</x:v>
      </x:c>
      <x:c r="B21" s="52" t="str">
        <x:v>Bundesweit</x:v>
      </x:c>
      <x:c r="C21" s="52" t="str">
        <x:v>Transfermarkt Regionalliga</x:v>
      </x:c>
      <x:c r="D21" s="52" t="str">
        <x:v>https://www.transfermarkt.de/wettbewerbe/national/wettbewerbe/40</x:v>
      </x:c>
      <x:c r="E21" s="52" t="str">
        <x:v>Datenbank</x:v>
      </x:c>
      <x:c r="F21" s="52" t="str">
        <x:v>B</x:v>
      </x:c>
      <x:c r="G21" s="52" t="n">
        <x:v>1</x:v>
      </x:c>
      <x:c r="H21" s="52" t="str">
        <x:v>Kader, Verträge, Transfers</x:v>
      </x:c>
      <x:c r="I21" s="53" t="str">
        <x:v>Kommerzielle Nutzung lizenzieren</x:v>
      </x:c>
    </x:row>
    <x:row r="22">
      <x:c r="A22" s="36" t="str">
        <x:v>Regionalliga</x:v>
      </x:c>
      <x:c r="B22" s="36" t="str">
        <x:v>West</x:v>
      </x:c>
      <x:c r="C22" s="36" t="str">
        <x:v>RevierSport</x:v>
      </x:c>
      <x:c r="D22" s="36" t="str">
        <x:v>https://www.reviersport.de/fussball/regionalligawest.html</x:v>
      </x:c>
      <x:c r="E22" s="36" t="str">
        <x:v>Regionalmedium</x:v>
      </x:c>
      <x:c r="F22" s="36" t="str">
        <x:v>B</x:v>
      </x:c>
      <x:c r="G22" s="36" t="n">
        <x:v>1</x:v>
      </x:c>
      <x:c r="H22" s="36" t="str">
        <x:v>Transfers, Trainer, Club-Insider</x:v>
      </x:c>
      <x:c r="I22" s="37" t="str"/>
    </x:row>
    <x:row r="23">
      <x:c r="A23" s="52" t="str">
        <x:v>Regionalliga</x:v>
      </x:c>
      <x:c r="B23" s="52" t="str">
        <x:v>Nordost</x:v>
      </x:c>
      <x:c r="C23" s="52" t="str">
        <x:v>MDR Sport</x:v>
      </x:c>
      <x:c r="D23" s="52" t="str">
        <x:v>https://www.mdr.de/sport/fussball/index.html</x:v>
      </x:c>
      <x:c r="E23" s="52" t="str">
        <x:v>Regionaler Rundfunk</x:v>
      </x:c>
      <x:c r="F23" s="52" t="str">
        <x:v>A2</x:v>
      </x:c>
      <x:c r="G23" s="52" t="n">
        <x:v>1</x:v>
      </x:c>
      <x:c r="H23" s="52" t="str">
        <x:v>Club-News, Interviews</x:v>
      </x:c>
      <x:c r="I23" s="53" t="str"/>
    </x:row>
    <x:row r="24">
      <x:c r="A24" s="36" t="str">
        <x:v>Regionalliga</x:v>
      </x:c>
      <x:c r="B24" s="36" t="str">
        <x:v>Nord</x:v>
      </x:c>
      <x:c r="C24" s="36" t="str">
        <x:v>NDR Sport</x:v>
      </x:c>
      <x:c r="D24" s="36" t="str">
        <x:v>https://www.ndr.de/sport/fussball/</x:v>
      </x:c>
      <x:c r="E24" s="36" t="str">
        <x:v>Regionaler Rundfunk</x:v>
      </x:c>
      <x:c r="F24" s="36" t="str">
        <x:v>A2</x:v>
      </x:c>
      <x:c r="G24" s="36" t="n">
        <x:v>1</x:v>
      </x:c>
      <x:c r="H24" s="36" t="str">
        <x:v>Club-News, Interviews</x:v>
      </x:c>
      <x:c r="I24" s="37" t="str"/>
    </x:row>
    <x:row r="25">
      <x:c r="A25" s="52" t="str">
        <x:v>Regionalliga</x:v>
      </x:c>
      <x:c r="B25" s="52" t="str">
        <x:v>Bayern</x:v>
      </x:c>
      <x:c r="C25" s="52" t="str">
        <x:v>BR24 Sport</x:v>
      </x:c>
      <x:c r="D25" s="52" t="str">
        <x:v>https://www.br.de/nachrichten/sport/</x:v>
      </x:c>
      <x:c r="E25" s="52" t="str">
        <x:v>Regionaler Rundfunk</x:v>
      </x:c>
      <x:c r="F25" s="52" t="str">
        <x:v>A2</x:v>
      </x:c>
      <x:c r="G25" s="52" t="n">
        <x:v>1</x:v>
      </x:c>
      <x:c r="H25" s="52" t="str">
        <x:v>Club-News, Interviews</x:v>
      </x:c>
      <x:c r="I25" s="53" t="str"/>
    </x:row>
    <x:row r="26">
      <x:c r="A26" s="36" t="str">
        <x:v>Regionalliga</x:v>
      </x:c>
      <x:c r="B26" s="36" t="str">
        <x:v>Südwest</x:v>
      </x:c>
      <x:c r="C26" s="36" t="str">
        <x:v>SWR Sport</x:v>
      </x:c>
      <x:c r="D26" s="36" t="str">
        <x:v>https://www.swr.de/sport/</x:v>
      </x:c>
      <x:c r="E26" s="36" t="str">
        <x:v>Regionaler Rundfunk</x:v>
      </x:c>
      <x:c r="F26" s="36" t="str">
        <x:v>A2</x:v>
      </x:c>
      <x:c r="G26" s="36" t="n">
        <x:v>1</x:v>
      </x:c>
      <x:c r="H26" s="36" t="str">
        <x:v>Club-News, Interviews</x:v>
      </x:c>
      <x:c r="I26" s="37" t="str"/>
    </x:row>
    <x:row r="27">
      <x:c r="A27" s="52" t="str">
        <x:v>Regionalliga</x:v>
      </x:c>
      <x:c r="B27" s="52" t="str">
        <x:v>West</x:v>
      </x:c>
      <x:c r="C27" s="52" t="str">
        <x:v>WDR Sport</x:v>
      </x:c>
      <x:c r="D27" s="52" t="str">
        <x:v>https://www1.wdr.de/sport/fussball/index.html</x:v>
      </x:c>
      <x:c r="E27" s="52" t="str">
        <x:v>Regionaler Rundfunk</x:v>
      </x:c>
      <x:c r="F27" s="52" t="str">
        <x:v>A2</x:v>
      </x:c>
      <x:c r="G27" s="52" t="n">
        <x:v>1</x:v>
      </x:c>
      <x:c r="H27" s="52" t="str">
        <x:v>Club-News, Interviews</x:v>
      </x:c>
      <x:c r="I27" s="53" t="str"/>
    </x:row>
    <x:row r="28">
      <x:c r="A28" s="36" t="str">
        <x:v>Regionalliga</x:v>
      </x:c>
      <x:c r="B28" s="36" t="str">
        <x:v>Nordost</x:v>
      </x:c>
      <x:c r="C28" s="36" t="str">
        <x:v>rbb24 Sport</x:v>
      </x:c>
      <x:c r="D28" s="36" t="str">
        <x:v>https://www.rbb24.de/sport/</x:v>
      </x:c>
      <x:c r="E28" s="36" t="str">
        <x:v>Regionaler Rundfunk</x:v>
      </x:c>
      <x:c r="F28" s="36" t="str">
        <x:v>A2</x:v>
      </x:c>
      <x:c r="G28" s="36" t="n">
        <x:v>1</x:v>
      </x:c>
      <x:c r="H28" s="36" t="str">
        <x:v>Berlin/Brandenburg-Clubs</x:v>
      </x:c>
      <x:c r="I28" s="37" t="str"/>
    </x:row>
    <x:row r="29">
      <x:c r="A29" s="52" t="str">
        <x:v>Regionalliga</x:v>
      </x:c>
      <x:c r="B29" s="52" t="str">
        <x:v>Südwest</x:v>
      </x:c>
      <x:c r="C29" s="52" t="str">
        <x:v>SR Sport</x:v>
      </x:c>
      <x:c r="D29" s="52" t="str">
        <x:v>https://www.sr.de/sr/home/sport/index.html</x:v>
      </x:c>
      <x:c r="E29" s="52" t="str">
        <x:v>Regionaler Rundfunk</x:v>
      </x:c>
      <x:c r="F29" s="52" t="str">
        <x:v>A2</x:v>
      </x:c>
      <x:c r="G29" s="52" t="n">
        <x:v>1</x:v>
      </x:c>
      <x:c r="H29" s="52" t="str">
        <x:v>Saarland-Clubs</x:v>
      </x:c>
      <x:c r="I29" s="53" t="str"/>
    </x:row>
    <x:row r="30">
      <x:c r="A30" s="36" t="str">
        <x:v>Regionalliga/Oberliga</x:v>
      </x:c>
      <x:c r="B30" s="36" t="str">
        <x:v>Bundesweit</x:v>
      </x:c>
      <x:c r="C30" s="36" t="str">
        <x:v>4-liga.com</x:v>
      </x:c>
      <x:c r="D30" s="36" t="str">
        <x:v>https://www.4-liga.com/</x:v>
      </x:c>
      <x:c r="E30" s="36" t="str">
        <x:v>Spezialmedium</x:v>
      </x:c>
      <x:c r="F30" s="36" t="str">
        <x:v>B/C</x:v>
      </x:c>
      <x:c r="G30" s="36" t="n">
        <x:v>2</x:v>
      </x:c>
      <x:c r="H30" s="36" t="str">
        <x:v>Regionalliga- und Oberliga-News</x:v>
      </x:c>
      <x:c r="I30" s="37" t="str">
        <x:v>Meldungen verifizieren</x:v>
      </x:c>
    </x:row>
    <x:row r="31">
      <x:c r="A31" s="52" t="str">
        <x:v>Regionalliga/Oberliga</x:v>
      </x:c>
      <x:c r="B31" s="52" t="str">
        <x:v>Bundesweit</x:v>
      </x:c>
      <x:c r="C31" s="52" t="str">
        <x:v>Amateurfußball-Portale der Landesverbände</x:v>
      </x:c>
      <x:c r="D31" s="52" t="str">
        <x:v>https://www.fussball.de/</x:v>
      </x:c>
      <x:c r="E31" s="52" t="str">
        <x:v>Offizielle Plattform</x:v>
      </x:c>
      <x:c r="F31" s="52" t="str">
        <x:v>A1</x:v>
      </x:c>
      <x:c r="G31" s="52" t="n">
        <x:v>1</x:v>
      </x:c>
      <x:c r="H31" s="52" t="str">
        <x:v>Kader, Aufstellungen, Spielerwechsel</x:v>
      </x:c>
      <x:c r="I31" s="53" t="str"/>
    </x:row>
    <x:row r="32">
      <x:c r="A32" s="36" t="str">
        <x:v>Regionalliga/Oberliga</x:v>
      </x:c>
      <x:c r="B32" s="36" t="str">
        <x:v>Bundesweit</x:v>
      </x:c>
      <x:c r="C32" s="36" t="str">
        <x:v>Club-Websites und Club-Socials</x:v>
      </x:c>
      <x:c r="D32" s="36" t="str"/>
      <x:c r="E32" s="36" t="str">
        <x:v>Primärquelle</x:v>
      </x:c>
      <x:c r="F32" s="36" t="str">
        <x:v>A1</x:v>
      </x:c>
      <x:c r="G32" s="36" t="n">
        <x:v>1</x:v>
      </x:c>
      <x:c r="H32" s="36" t="str">
        <x:v>Transfers, Probetraining, Testspiele, Verletzungen</x:v>
      </x:c>
      <x:c r="I32" s="37" t="str">
        <x:v>Für jeden Club eigene Feed- und Social-Liste</x:v>
      </x:c>
    </x:row>
    <x:row r="33">
      <x:c r="A33" s="52" t="str">
        <x:v>Regionalliga/Oberliga</x:v>
      </x:c>
      <x:c r="B33" s="52" t="str">
        <x:v>Bundesweit</x:v>
      </x:c>
      <x:c r="C33" s="52" t="str">
        <x:v>Lokale Tageszeitung pro Club</x:v>
      </x:c>
      <x:c r="D33" s="52" t="str"/>
      <x:c r="E33" s="52" t="str">
        <x:v>Lokales Beat-Medium</x:v>
      </x:c>
      <x:c r="F33" s="52" t="str">
        <x:v>A2/B</x:v>
      </x:c>
      <x:c r="G33" s="52" t="n">
        <x:v>1</x:v>
      </x:c>
      <x:c r="H33" s="52" t="str">
        <x:v>Exklusive Club-News, Finanzen, Trainer, Sponsoren</x:v>
      </x:c>
      <x:c r="I33" s="53" t="str">
        <x:v>Mindestens ein Medium pro Club</x:v>
      </x:c>
    </x:row>
    <x:row r="34">
      <x:c r="A34" s="36" t="str">
        <x:v>Regionalliga/Oberliga</x:v>
      </x:c>
      <x:c r="B34" s="36" t="str">
        <x:v>Bundesweit</x:v>
      </x:c>
      <x:c r="C34" s="36" t="str">
        <x:v>Lokale Radio-/TV-Reporter</x:v>
      </x:c>
      <x:c r="D34" s="36" t="str"/>
      <x:c r="E34" s="36" t="str">
        <x:v>Regionaler Rundfunk</x:v>
      </x:c>
      <x:c r="F34" s="36" t="str">
        <x:v>A2/B</x:v>
      </x:c>
      <x:c r="G34" s="36" t="n">
        <x:v>1</x:v>
      </x:c>
      <x:c r="H34" s="36" t="str">
        <x:v>Interviews und Pressekonferenzen</x:v>
      </x:c>
      <x:c r="I34" s="37" t="str">
        <x:v>Clubbezogen</x:v>
      </x:c>
    </x:row>
    <x:row r="35">
      <x:c r="A35" s="52" t="str">
        <x:v>Regionalliga/Oberliga</x:v>
      </x:c>
      <x:c r="B35" s="52" t="str">
        <x:v>Bundesweit</x:v>
      </x:c>
      <x:c r="C35" s="52" t="str">
        <x:v>Spieler-/Berater-Socials</x:v>
      </x:c>
      <x:c r="D35" s="52" t="str"/>
      <x:c r="E35" s="52" t="str">
        <x:v>Direktquelle</x:v>
      </x:c>
      <x:c r="F35" s="52" t="str">
        <x:v>B</x:v>
      </x:c>
      <x:c r="G35" s="52" t="n">
        <x:v>2</x:v>
      </x:c>
      <x:c r="H35" s="52" t="str">
        <x:v>Probetrainings, Abschiede, Wechselhinweise</x:v>
      </x:c>
      <x:c r="I35" s="53" t="str">
        <x:v>Nur nach Verifizierung veröffentlichen</x:v>
      </x:c>
    </x:row>
    <x:row r="36">
      <x:c r="A36" s="38" t="str">
        <x:v>Regionalliga/Oberliga</x:v>
      </x:c>
      <x:c r="B36" s="38" t="str">
        <x:v>Bundesweit</x:v>
      </x:c>
      <x:c r="C36" s="38" t="str">
        <x:v>Jobbörsen der Clubs</x:v>
      </x:c>
      <x:c r="D36" s="38" t="str"/>
      <x:c r="E36" s="38" t="str">
        <x:v>OSINT-Signal</x:v>
      </x:c>
      <x:c r="F36" s="38" t="str">
        <x:v>B/C</x:v>
      </x:c>
      <x:c r="G36" s="38" t="n">
        <x:v>3</x:v>
      </x:c>
      <x:c r="H36" s="38" t="str">
        <x:v>Struktur-, Nachwuchs- und Staff-Veränderungen</x:v>
      </x:c>
      <x:c r="I36" s="39" t="str">
        <x:v>Nur als Signal</x:v>
      </x:c>
    </x:row>
  </x:sheetData>
  <x:mergeCells>
    <x:mergeCell ref="A1:I1"/>
    <x:mergeCell ref="A2:I2"/>
  </x:mergeCells>
  <x:conditionalFormatting sqref="F5:F36">
    <x:cfRule type="expression" dxfId="4" priority="1">
      <x:formula>F5="A1"</x:formula>
    </x:cfRule>
  </x:conditionalFormatting>
  <x:conditionalFormatting sqref="G5:G36">
    <x:cfRule type="expression" dxfId="5" priority="2">
      <x:formula>G5=1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e6537584be4e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42" hidden="0" customWidth="1"/>
    <x:col min="4" max="4" width="22" hidden="0" customWidth="1"/>
    <x:col min="5" max="5" width="28" hidden="0" customWidth="1"/>
    <x:col min="6" max="6" width="36" hidden="0" customWidth="1"/>
    <x:col min="7" max="7" width="34" hidden="0" customWidth="1"/>
    <x:col min="8" max="8" width="36" hidden="0" customWidth="1"/>
    <x:col min="9" max="9" width="22" hidden="0" customWidth="1"/>
    <x:col min="10" max="10" width="10" hidden="0" customWidth="1"/>
    <x:col min="11" max="11" width="38" hidden="0" customWidth="1"/>
  </x:cols>
  <x:sheetData>
    <x:row r="1" ht="30" customHeight="1">
      <x:c r="A1" s="4" t="str">
        <x:v>APIs, Datenanbieter und Scoutingplattformen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1" t="str">
        <x:v>Die Enterprise-Quellen liefern strukturierte Qualitätsdaten; Mid-market-APIs dienen für Breite und Redundanz. TransferRoom ist kein klassischer Newsfeed, sondern ein Marktintelligenz- und Netzwerkkanal.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4" customHeight="1">
      <x:c r="A4" s="21" t="str">
        <x:v>Anbieter</x:v>
      </x:c>
      <x:c r="B4" s="21" t="str">
        <x:v>Produkt</x:v>
      </x:c>
      <x:c r="C4" s="21" t="str">
        <x:v>URL</x:v>
      </x:c>
      <x:c r="D4" s="21" t="str">
        <x:v>Kategorie</x:v>
      </x:c>
      <x:c r="E4" s="21" t="str">
        <x:v>Abdeckung</x:v>
      </x:c>
      <x:c r="F4" s="21" t="str">
        <x:v>Datentypen</x:v>
      </x:c>
      <x:c r="G4" s="21" t="str">
        <x:v>Stärke</x:v>
      </x:c>
      <x:c r="H4" s="21" t="str">
        <x:v>Grenzen/Risiken</x:v>
      </x:c>
      <x:c r="I4" s="21" t="str">
        <x:v>Zugang</x:v>
      </x:c>
      <x:c r="J4" s="21" t="str">
        <x:v>Priorität</x:v>
      </x:c>
      <x:c r="K4" s="21" t="str">
        <x:v>Empfohlener Einsatz</x:v>
      </x:c>
    </x:row>
    <x:row r="5">
      <x:c r="A5" s="52" t="str">
        <x:v>Stats Perform</x:v>
      </x:c>
      <x:c r="B5" s="52" t="str">
        <x:v>Opta Data Feeds</x:v>
      </x:c>
      <x:c r="C5" s="52" t="str">
        <x:v>https://www.statsperform.com/products/opta-data-feeds/</x:v>
      </x:c>
      <x:c r="D5" s="52" t="str">
        <x:v>Enterprise Match-/Playerdaten</x:v>
      </x:c>
      <x:c r="E5" s="52" t="str">
        <x:v>3.900+ Wettbewerbe; 500.000+ Spiele jährlich</x:v>
      </x:c>
      <x:c r="F5" s="52" t="str">
        <x:v>Live, Events, Spieler/Teams, historische Daten, Modelle</x:v>
      </x:c>
      <x:c r="G5" s="52" t="str">
        <x:v>Sehr hohe Datenqualität und Medienstandard</x:v>
      </x:c>
      <x:c r="H5" s="52" t="str">
        <x:v>Hoher Preis; Lizenzverhandlung</x:v>
      </x:c>
      <x:c r="I5" s="52" t="str">
        <x:v>Enterprise-Lizenz/API</x:v>
      </x:c>
      <x:c r="J5" s="52" t="n">
        <x:v>1</x:v>
      </x:c>
      <x:c r="K5" s="53" t="str">
        <x:v>Primäre strukturierte Datenbasis für Premiumprodukt</x:v>
      </x:c>
    </x:row>
    <x:row r="6">
      <x:c r="A6" s="36" t="str">
        <x:v>Sportradar</x:v>
      </x:c>
      <x:c r="B6" s="36" t="str">
        <x:v>Soccer API</x:v>
      </x:c>
      <x:c r="C6" s="36" t="str">
        <x:v>https://developer.sportradar.com/soccer/reference/soccer-overview</x:v>
      </x:c>
      <x:c r="D6" s="36" t="str">
        <x:v>Enterprise Match-/Playerdaten</x:v>
      </x:c>
      <x:c r="E6" s="36" t="str">
        <x:v>650+ Wettbewerbe in einem Paket</x:v>
      </x:c>
      <x:c r="F6" s="36" t="str">
        <x:v>Live, Events, Profiles, Standings, Stats, Advanced</x:v>
      </x:c>
      <x:c r="G6" s="36" t="str">
        <x:v>Globale Abdeckung, Scouts und Operatoren</x:v>
      </x:c>
      <x:c r="H6" s="36" t="str">
        <x:v>B2B, Preis/Vertrag</x:v>
      </x:c>
      <x:c r="I6" s="36" t="str">
        <x:v>Enterprise-Lizenz/API</x:v>
      </x:c>
      <x:c r="J6" s="36" t="n">
        <x:v>1</x:v>
      </x:c>
      <x:c r="K6" s="37" t="str">
        <x:v>Alternative oder Ergänzung zu Opta</x:v>
      </x:c>
    </x:row>
    <x:row r="7">
      <x:c r="A7" s="52" t="str">
        <x:v>Genius Sports</x:v>
      </x:c>
      <x:c r="B7" s="52" t="str">
        <x:v>Official Sports Data / Football</x:v>
      </x:c>
      <x:c r="C7" s="52" t="str">
        <x:v>https://www.geniussports.com/</x:v>
      </x:c>
      <x:c r="D7" s="52" t="str">
        <x:v>Enterprise Official Data</x:v>
      </x:c>
      <x:c r="E7" s="52" t="str">
        <x:v>Hunderte Ligen weltweit</x:v>
      </x:c>
      <x:c r="F7" s="52" t="str">
        <x:v>Live, offizielle Daten, Medien-/Broadcastlösungen</x:v>
      </x:c>
      <x:c r="G7" s="52" t="str">
        <x:v>Official-rights-Partnerschaften</x:v>
      </x:c>
      <x:c r="H7" s="52" t="str">
        <x:v>Individuelle Verträge</x:v>
      </x:c>
      <x:c r="I7" s="52" t="str">
        <x:v>Enterprise-Lizenz</x:v>
      </x:c>
      <x:c r="J7" s="52" t="n">
        <x:v>2</x:v>
      </x:c>
      <x:c r="K7" s="53" t="str">
        <x:v>Offizielle Datenrechte und Partnerschaften</x:v>
      </x:c>
    </x:row>
    <x:row r="8">
      <x:c r="A8" s="36" t="str">
        <x:v>Hudl</x:v>
      </x:c>
      <x:c r="B8" s="36" t="str">
        <x:v>Wyscout API</x:v>
      </x:c>
      <x:c r="C8" s="36" t="str">
        <x:v>https://www.hudl.com/en_gb/products/wyscout/football-api</x:v>
      </x:c>
      <x:c r="D8" s="36" t="str">
        <x:v>Scouting, Video und Daten</x:v>
      </x:c>
      <x:c r="E8" s="36" t="str">
        <x:v>600+ Ligen; 500.000+ Spielerprofile</x:v>
      </x:c>
      <x:c r="F8" s="36" t="str">
        <x:v>Stats, Spielerprofile, Video, historische Daten</x:v>
      </x:c>
      <x:c r="G8" s="36" t="str">
        <x:v>Sehr starke globale Scoutingabdeckung</x:v>
      </x:c>
      <x:c r="H8" s="36" t="str">
        <x:v>Lizenzkosten; Video-/Datenrechte</x:v>
      </x:c>
      <x:c r="I8" s="36" t="str">
        <x:v>B2B-Lizenz/API</x:v>
      </x:c>
      <x:c r="J8" s="36" t="n">
        <x:v>1</x:v>
      </x:c>
      <x:c r="K8" s="37" t="str">
        <x:v>Spielerprofile, Scouting, Videoverifizierung</x:v>
      </x:c>
    </x:row>
    <x:row r="9">
      <x:c r="A9" s="52" t="str">
        <x:v>Hudl</x:v>
      </x:c>
      <x:c r="B9" s="52" t="str">
        <x:v>Wyscout Platform</x:v>
      </x:c>
      <x:c r="C9" s="52" t="str">
        <x:v>https://www.hudl.com/en_gb/products/wyscout</x:v>
      </x:c>
      <x:c r="D9" s="52" t="str">
        <x:v>Scoutingplattform</x:v>
      </x:c>
      <x:c r="E9" s="52" t="str">
        <x:v>Globale Wettbewerbe und Youth Pack</x:v>
      </x:c>
      <x:c r="F9" s="52" t="str">
        <x:v>Video, Reports, Suche, Shortlists</x:v>
      </x:c>
      <x:c r="G9" s="52" t="str">
        <x:v>Branchenstandard für Scouts/Agenturen</x:v>
      </x:c>
      <x:c r="H9" s="52" t="str">
        <x:v>Nicht als frei redistributable Datenquelle</x:v>
      </x:c>
      <x:c r="I9" s="52" t="str">
        <x:v>Subscription</x:v>
      </x:c>
      <x:c r="J9" s="52" t="n">
        <x:v>1</x:v>
      </x:c>
      <x:c r="K9" s="53" t="str">
        <x:v>Redaktionelle Verifizierung und Scouting</x:v>
      </x:c>
    </x:row>
    <x:row r="10">
      <x:c r="A10" s="36" t="str">
        <x:v>Hudl StatsBomb</x:v>
      </x:c>
      <x:c r="B10" s="36" t="str">
        <x:v>Event Data / API</x:v>
      </x:c>
      <x:c r="C10" s="36" t="str">
        <x:v>https://statsbomb.com/</x:v>
      </x:c>
      <x:c r="D10" s="36" t="str">
        <x:v>Advanced Event Data</x:v>
      </x:c>
      <x:c r="E10" s="36" t="str">
        <x:v>40+ Kernligen für 360; weitere Datenpakete</x:v>
      </x:c>
      <x:c r="F10" s="36" t="str">
        <x:v>3.000+ Events/Spiel, 360, xG, Pressure</x:v>
      </x:c>
      <x:c r="G10" s="36" t="str">
        <x:v>Sehr tiefe Analysequalität</x:v>
      </x:c>
      <x:c r="H10" s="36" t="str">
        <x:v>Premium, nicht alle unteren Ligen</x:v>
      </x:c>
      <x:c r="I10" s="36" t="str">
        <x:v>Enterprise/API</x:v>
      </x:c>
      <x:c r="J10" s="36" t="n">
        <x:v>2</x:v>
      </x:c>
      <x:c r="K10" s="37" t="str">
        <x:v>Eigene Scores, Performance- und Talentmodelle</x:v>
      </x:c>
    </x:row>
    <x:row r="11">
      <x:c r="A11" s="52" t="str">
        <x:v>SkillCorner</x:v>
      </x:c>
      <x:c r="B11" s="52" t="str">
        <x:v>Tracking / Physical / Game Intelligence</x:v>
      </x:c>
      <x:c r="C11" s="52" t="str">
        <x:v>https://skillcorner.com/sports/football</x:v>
      </x:c>
      <x:c r="D11" s="52" t="str">
        <x:v>Tracking- und physische Daten</x:v>
      </x:c>
      <x:c r="E11" s="52" t="str">
        <x:v>120–150+ Wettbewerbe je Produkt</x:v>
      </x:c>
      <x:c r="F11" s="52" t="str">
        <x:v>XY-Tracking, Speed, Workrate, Off-ball, Tactical</x:v>
      </x:c>
      <x:c r="G11" s="52" t="str">
        <x:v>Einheitliche physische und taktische Vergleiche</x:v>
      </x:c>
      <x:c r="H11" s="52" t="str">
        <x:v>Premium; Broadcast-Abdeckung nötig</x:v>
      </x:c>
      <x:c r="I11" s="52" t="str">
        <x:v>Enterprise/API</x:v>
      </x:c>
      <x:c r="J11" s="52" t="n">
        <x:v>2</x:v>
      </x:c>
      <x:c r="K11" s="53" t="str">
        <x:v>Premium Scouting-, Athletik- und Fit-Scores</x:v>
      </x:c>
    </x:row>
    <x:row r="12">
      <x:c r="A12" s="36" t="str">
        <x:v>SciSports</x:v>
      </x:c>
      <x:c r="B12" s="36" t="str">
        <x:v>Scouting / Recruitment</x:v>
      </x:c>
      <x:c r="C12" s="36" t="str">
        <x:v>https://www.scisports.com/scouting/</x:v>
      </x:c>
      <x:c r="D12" s="36" t="str">
        <x:v>Recruitment Intelligence</x:v>
      </x:c>
      <x:c r="E12" s="36" t="str">
        <x:v>225.000+ Spieler</x:v>
      </x:c>
      <x:c r="F12" s="36" t="str">
        <x:v>Scouting, Potential, Fit, Vergleich</x:v>
      </x:c>
      <x:c r="G12" s="36" t="str">
        <x:v>Schnelle globale Longlists</x:v>
      </x:c>
      <x:c r="H12" s="36" t="str">
        <x:v>Methodik und Lizenz prüfen</x:v>
      </x:c>
      <x:c r="I12" s="36" t="str">
        <x:v>B2B Subscription/API</x:v>
      </x:c>
      <x:c r="J12" s="36" t="n">
        <x:v>2</x:v>
      </x:c>
      <x:c r="K12" s="37" t="str">
        <x:v>Benchmark und Player-Fit als Zweitmeinung</x:v>
      </x:c>
    </x:row>
    <x:row r="13">
      <x:c r="A13" s="52" t="str">
        <x:v>TransferRoom</x:v>
      </x:c>
      <x:c r="B13" s="52" t="str">
        <x:v>Market Intelligence &amp; Marketplace</x:v>
      </x:c>
      <x:c r="C13" s="52" t="str">
        <x:v>https://www.transferroom.com/</x:v>
      </x:c>
      <x:c r="D13" s="52" t="str">
        <x:v>Transfermarkt-Netzwerk</x:v>
      </x:c>
      <x:c r="E13" s="52" t="str">
        <x:v>800+ Clubs, 130+ Ligen laut Produktangaben</x:v>
      </x:c>
      <x:c r="F13" s="52" t="str">
        <x:v>Club Requirements, verfügbare Spieler, Budgets, Kontakte</x:v>
      </x:c>
      <x:c r="G13" s="52" t="str">
        <x:v>Echte Nachfrage direkt von Entscheidern</x:v>
      </x:c>
      <x:c r="H13" s="52" t="str">
        <x:v>Nur verifizierte Club-/Agentennutzer; keine offene News-API</x:v>
      </x:c>
      <x:c r="I13" s="52" t="str">
        <x:v>Subscription/Netzwerk</x:v>
      </x:c>
      <x:c r="J13" s="52" t="n">
        <x:v>1</x:v>
      </x:c>
      <x:c r="K13" s="53" t="str">
        <x:v>Insider-/Market-Demand-Layer und Vereinsbedarf</x:v>
      </x:c>
    </x:row>
    <x:row r="14">
      <x:c r="A14" s="36" t="str">
        <x:v>Sportmonks</x:v>
      </x:c>
      <x:c r="B14" s="36" t="str">
        <x:v>Football API</x:v>
      </x:c>
      <x:c r="C14" s="36" t="str">
        <x:v>https://www.sportmonks.com/football-api/</x:v>
      </x:c>
      <x:c r="D14" s="36" t="str">
        <x:v>Mid-market API</x:v>
      </x:c>
      <x:c r="E14" s="36" t="str">
        <x:v>2.200+ Ligen laut Anbieter</x:v>
      </x:c>
      <x:c r="F14" s="36" t="str">
        <x:v>Fixtures, Stats, Players, Lineups, xG, Transfers</x:v>
      </x:c>
      <x:c r="G14" s="36" t="str">
        <x:v>Breite Abdeckung und einfache Integration</x:v>
      </x:c>
      <x:c r="H14" s="36" t="str">
        <x:v>Datenqualität je Liga prüfen; Lizenzbedingungen</x:v>
      </x:c>
      <x:c r="I14" s="36" t="str">
        <x:v>Self-service API</x:v>
      </x:c>
      <x:c r="J14" s="36" t="n">
        <x:v>2</x:v>
      </x:c>
      <x:c r="K14" s="37" t="str">
        <x:v>MVP/Backup für breite Ligentiefe</x:v>
      </x:c>
    </x:row>
    <x:row r="15">
      <x:c r="A15" s="52" t="str">
        <x:v>API-Sports</x:v>
      </x:c>
      <x:c r="B15" s="52" t="str">
        <x:v>API-Football</x:v>
      </x:c>
      <x:c r="C15" s="52" t="str">
        <x:v>https://www.api-football.com/</x:v>
      </x:c>
      <x:c r="D15" s="52" t="str">
        <x:v>Budget/Mid-market API</x:v>
      </x:c>
      <x:c r="E15" s="52" t="str">
        <x:v>1.200+ Wettbewerbe; API-Sports 2.000+ Wettbewerbe</x:v>
      </x:c>
      <x:c r="F15" s="52" t="str">
        <x:v>Livescore, Fixtures, Teams, Standings, Players, Odds</x:v>
      </x:c>
      <x:c r="G15" s="52" t="str">
        <x:v>Sehr breite Lower-League-Abdeckung</x:v>
      </x:c>
      <x:c r="H15" s="52" t="str">
        <x:v>Quellen-/Datenqualität variiert; keine Exklusivnews</x:v>
      </x:c>
      <x:c r="I15" s="52" t="str">
        <x:v>Self-service API</x:v>
      </x:c>
      <x:c r="J15" s="52" t="n">
        <x:v>2</x:v>
      </x:c>
      <x:c r="K15" s="53" t="str">
        <x:v>Breite Basisdaten, insbesondere 3./4. Ebenen</x:v>
      </x:c>
    </x:row>
    <x:row r="16">
      <x:c r="A16" s="36" t="str">
        <x:v>football-data.org</x:v>
      </x:c>
      <x:c r="B16" s="36" t="str">
        <x:v>Football Data API</x:v>
      </x:c>
      <x:c r="C16" s="36" t="str">
        <x:v>https://www.football-data.org/</x:v>
      </x:c>
      <x:c r="D16" s="36" t="str">
        <x:v>Budget/Open API</x:v>
      </x:c>
      <x:c r="E16" s="36" t="str">
        <x:v>144 Wettbewerbe laut aktuellem Anbieterblog</x:v>
      </x:c>
      <x:c r="F16" s="36" t="str">
        <x:v>Fixtures, Teams, Tables, Scorers</x:v>
      </x:c>
      <x:c r="G16" s="36" t="str">
        <x:v>Einfach und kostengünstig</x:v>
      </x:c>
      <x:c r="H16" s="36" t="str">
        <x:v>Weniger tiefe Daten; Transfers nicht Kernprodukt</x:v>
      </x:c>
      <x:c r="I16" s="36" t="str">
        <x:v>Free/Paid API</x:v>
      </x:c>
      <x:c r="J16" s="36" t="n">
        <x:v>3</x:v>
      </x:c>
      <x:c r="K16" s="37" t="str">
        <x:v>Prototyping und Basisdaten</x:v>
      </x:c>
    </x:row>
    <x:row r="17">
      <x:c r="A17" s="52" t="str">
        <x:v>Entity Sport</x:v>
      </x:c>
      <x:c r="B17" s="52" t="str">
        <x:v>Soccer API</x:v>
      </x:c>
      <x:c r="C17" s="52" t="str">
        <x:v>https://www.entitysport.com/soccer-api/</x:v>
      </x:c>
      <x:c r="D17" s="52" t="str">
        <x:v>Mid-market API</x:v>
      </x:c>
      <x:c r="E17" s="52" t="str">
        <x:v>Globale Fußballwettbewerbe</x:v>
      </x:c>
      <x:c r="F17" s="52" t="str">
        <x:v>Live, Stats, Squads, Fantasy, News</x:v>
      </x:c>
      <x:c r="G17" s="52" t="str">
        <x:v>Flexibles Produktportfolio</x:v>
      </x:c>
      <x:c r="H17" s="52" t="str">
        <x:v>Coverage und Rechte je Liga prüfen</x:v>
      </x:c>
      <x:c r="I17" s="52" t="str">
        <x:v>B2B/API</x:v>
      </x:c>
      <x:c r="J17" s="52" t="n">
        <x:v>3</x:v>
      </x:c>
      <x:c r="K17" s="53" t="str">
        <x:v>Alternative Datenquelle und Redundanz</x:v>
      </x:c>
    </x:row>
    <x:row r="18">
      <x:c r="A18" s="36" t="str">
        <x:v>SportsDataIO</x:v>
      </x:c>
      <x:c r="B18" s="36" t="str">
        <x:v>Soccer API / News</x:v>
      </x:c>
      <x:c r="C18" s="36" t="str">
        <x:v>https://sportsdata.io/developers/api-documentation/soccer</x:v>
      </x:c>
      <x:c r="D18" s="36" t="str">
        <x:v>Data/News API</x:v>
      </x:c>
      <x:c r="E18" s="36" t="str">
        <x:v>Globale Soccer-Wettbewerbe</x:v>
      </x:c>
      <x:c r="F18" s="36" t="str">
        <x:v>Scores, Stats, Odds, News, Images</x:v>
      </x:c>
      <x:c r="G18" s="36" t="str">
        <x:v>Medienfreundliche Produkte</x:v>
      </x:c>
      <x:c r="H18" s="36" t="str">
        <x:v>Coverage für europäische Unterligen prüfen</x:v>
      </x:c>
      <x:c r="I18" s="36" t="str">
        <x:v>B2B/API</x:v>
      </x:c>
      <x:c r="J18" s="36" t="n">
        <x:v>3</x:v>
      </x:c>
      <x:c r="K18" s="37" t="str">
        <x:v>News-/Bild-/Stats-Ergänzung</x:v>
      </x:c>
    </x:row>
    <x:row r="19">
      <x:c r="A19" s="52" t="str">
        <x:v>IMPECT / Catapult</x:v>
      </x:c>
      <x:c r="B19" s="52" t="str">
        <x:v>Packing &amp; Video Scouting</x:v>
      </x:c>
      <x:c r="C19" s="52" t="str">
        <x:v>https://www.impect.com/</x:v>
      </x:c>
      <x:c r="D19" s="52" t="str">
        <x:v>Taktik-/Scoutingdaten</x:v>
      </x:c>
      <x:c r="E19" s="52" t="str">
        <x:v>Ausgewählte professionelle Ligen</x:v>
      </x:c>
      <x:c r="F19" s="52" t="str">
        <x:v>Packing, Line-breaking, Video, Player Impact</x:v>
      </x:c>
      <x:c r="G19" s="52" t="str">
        <x:v>Einzigartige taktische Metriken</x:v>
      </x:c>
      <x:c r="H19" s="52" t="str">
        <x:v>Premium und selektive Abdeckung</x:v>
      </x:c>
      <x:c r="I19" s="52" t="str">
        <x:v>B2B</x:v>
      </x:c>
      <x:c r="J19" s="52" t="n">
        <x:v>3</x:v>
      </x:c>
      <x:c r="K19" s="53" t="str">
        <x:v>Differenzierende Premiumanalysen</x:v>
      </x:c>
    </x:row>
    <x:row r="20">
      <x:c r="A20" s="36" t="str">
        <x:v>Comparisonator</x:v>
      </x:c>
      <x:c r="B20" s="36" t="str">
        <x:v>Recruitment Platform</x:v>
      </x:c>
      <x:c r="C20" s="36" t="str">
        <x:v>https://comparisonator.com/</x:v>
      </x:c>
      <x:c r="D20" s="36" t="str">
        <x:v>Recruitment Analytics</x:v>
      </x:c>
      <x:c r="E20" s="36" t="str">
        <x:v>271 Ligen laut Anbieter</x:v>
      </x:c>
      <x:c r="F20" s="36" t="str">
        <x:v>Spielervergleich, Recruitment, Reports</x:v>
      </x:c>
      <x:c r="G20" s="36" t="str">
        <x:v>Breite Vergleichbarkeit</x:v>
      </x:c>
      <x:c r="H20" s="36" t="str">
        <x:v>Lizenz und Datenherkunft prüfen</x:v>
      </x:c>
      <x:c r="I20" s="36" t="str">
        <x:v>Subscription/API</x:v>
      </x:c>
      <x:c r="J20" s="36" t="n">
        <x:v>3</x:v>
      </x:c>
      <x:c r="K20" s="37" t="str">
        <x:v>Scouting-Zweitmeinung</x:v>
      </x:c>
    </x:row>
    <x:row r="21">
      <x:c r="A21" s="52" t="str">
        <x:v>StatsBomb</x:v>
      </x:c>
      <x:c r="B21" s="52" t="str">
        <x:v>Open Data</x:v>
      </x:c>
      <x:c r="C21" s="52" t="str">
        <x:v>https://github.com/statsbomb/open-data</x:v>
      </x:c>
      <x:c r="D21" s="52" t="str">
        <x:v>Open Dataset</x:v>
      </x:c>
      <x:c r="E21" s="52" t="str">
        <x:v>Ausgewählte Wettbewerbe und Saisons</x:v>
      </x:c>
      <x:c r="F21" s="52" t="str">
        <x:v>Events, Lineups, teils 360</x:v>
      </x:c>
      <x:c r="G21" s="52" t="str">
        <x:v>Kostenlos für Modellprototypen</x:v>
      </x:c>
      <x:c r="H21" s="52" t="str">
        <x:v>Keine aktuelle Vollabdeckung</x:v>
      </x:c>
      <x:c r="I21" s="52" t="str">
        <x:v>Open Data</x:v>
      </x:c>
      <x:c r="J21" s="52" t="n">
        <x:v>3</x:v>
      </x:c>
      <x:c r="K21" s="53" t="str">
        <x:v>Entwicklung und Test eigener Modelle</x:v>
      </x:c>
    </x:row>
    <x:row r="22">
      <x:c r="A22" s="36" t="str">
        <x:v>SkillCorner</x:v>
      </x:c>
      <x:c r="B22" s="36" t="str">
        <x:v>Open Data</x:v>
      </x:c>
      <x:c r="C22" s="36" t="str">
        <x:v>https://github.com/SkillCorner/opendata</x:v>
      </x:c>
      <x:c r="D22" s="36" t="str">
        <x:v>Open Dataset</x:v>
      </x:c>
      <x:c r="E22" s="36" t="str">
        <x:v>Ausgewählte Spiele/Datensätze</x:v>
      </x:c>
      <x:c r="F22" s="36" t="str">
        <x:v>Tracking-/Eventbeispiele</x:v>
      </x:c>
      <x:c r="G22" s="36" t="str">
        <x:v>Kostenloser Entwicklungsstart</x:v>
      </x:c>
      <x:c r="H22" s="36" t="str">
        <x:v>Nicht produktionsweit</x:v>
      </x:c>
      <x:c r="I22" s="36" t="str">
        <x:v>Open Data</x:v>
      </x:c>
      <x:c r="J22" s="36" t="n">
        <x:v>3</x:v>
      </x:c>
      <x:c r="K22" s="37" t="str">
        <x:v>Prototyping von Trackingmetriken</x:v>
      </x:c>
    </x:row>
    <x:row r="23">
      <x:c r="A23" s="52" t="str">
        <x:v>FIFA</x:v>
      </x:c>
      <x:c r="B23" s="52" t="str">
        <x:v>Transfer Reports / Methodology</x:v>
      </x:c>
      <x:c r="C23" s="52" t="str">
        <x:v>https://inside.fifa.com/transfer-system/transfer-reports</x:v>
      </x:c>
      <x:c r="D23" s="52" t="str">
        <x:v>Offizielle Transferstatistik</x:v>
      </x:c>
      <x:c r="E23" s="52" t="str">
        <x:v>Internationale Transfers</x:v>
      </x:c>
      <x:c r="F23" s="52" t="str">
        <x:v>Aggregierte Transferzahlen und Reports</x:v>
      </x:c>
      <x:c r="G23" s="52" t="str">
        <x:v>Direkt aus TMS-Transaktionen</x:v>
      </x:c>
      <x:c r="H23" s="52" t="str">
        <x:v>Keine Einzeltransfer-API; zeitverzögert</x:v>
      </x:c>
      <x:c r="I23" s="52" t="str">
        <x:v>Frei</x:v>
      </x:c>
      <x:c r="J23" s="52" t="n">
        <x:v>2</x:v>
      </x:c>
      <x:c r="K23" s="53" t="str">
        <x:v>Marktbenchmarks und Faktenchecks</x:v>
      </x:c>
    </x:row>
    <x:row r="24">
      <x:c r="A24" s="38" t="str">
        <x:v>FIFA</x:v>
      </x:c>
      <x:c r="B24" s="38" t="str">
        <x:v>TMS</x:v>
      </x:c>
      <x:c r="C24" s="38" t="str">
        <x:v>https://inside.fifa.com/transfer-system/player-transfers</x:v>
      </x:c>
      <x:c r="D24" s="38" t="str">
        <x:v>Registrierungssystem</x:v>
      </x:c>
      <x:c r="E24" s="38" t="str">
        <x:v>Internationale Transfers</x:v>
      </x:c>
      <x:c r="F24" s="38" t="str">
        <x:v>Einzeltransaktionen für autorisierte Nutzer</x:v>
      </x:c>
      <x:c r="G24" s="38" t="str">
        <x:v>Primärsystem des internationalen Transfers</x:v>
      </x:c>
      <x:c r="H24" s="38" t="str">
        <x:v>Nur registrierte Clubs/Verbände; nicht öffentlich</x:v>
      </x:c>
      <x:c r="I24" s="38" t="str">
        <x:v>Restricted</x:v>
      </x:c>
      <x:c r="J24" s="38" t="n">
        <x:v>1</x:v>
      </x:c>
      <x:c r="K24" s="39" t="str">
        <x:v>Nicht als öffentliche Quelle einplanen; Partnerschaften nötig</x:v>
      </x:c>
    </x:row>
  </x:sheetData>
  <x:mergeCells>
    <x:mergeCell ref="A1:K1"/>
    <x:mergeCell ref="A2:K2"/>
  </x:mergeCells>
  <x:conditionalFormatting sqref="J5:J24">
    <x:cfRule type="expression" dxfId="6" priority="1">
      <x:formula>J5=1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ac02808a8a49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30" hidden="0" customWidth="1"/>
    <x:col min="5" max="5" width="40" hidden="0" customWidth="1"/>
    <x:col min="6" max="6" width="32" hidden="0" customWidth="1"/>
    <x:col min="7" max="7" width="38" hidden="0" customWidth="1"/>
    <x:col min="8" max="8" width="10" hidden="0" customWidth="1"/>
  </x:cols>
  <x:sheetData>
    <x:row r="1" ht="30" customHeight="1">
      <x:c r="A1" s="4" t="str">
        <x:v>News-, Social- und Quellenmonitoring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1" t="str">
        <x:v>Monitoring-Stack für mehrsprachige Echtzeitbeobachtung. Die Systeme ersetzen keine redaktionelle Prüfung, sondern finden, clustern und priorisieren Signale.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21" t="str">
        <x:v>Tool</x:v>
      </x:c>
      <x:c r="B4" s="21" t="str">
        <x:v>URL</x:v>
      </x:c>
      <x:c r="C4" s="21" t="str">
        <x:v>Kategorie</x:v>
      </x:c>
      <x:c r="D4" s="21" t="str">
        <x:v>Abdeckung</x:v>
      </x:c>
      <x:c r="E4" s="21" t="str">
        <x:v>Einsatz</x:v>
      </x:c>
      <x:c r="F4" s="21" t="str">
        <x:v>Vorteile</x:v>
      </x:c>
      <x:c r="G4" s="21" t="str">
        <x:v>Nachteile</x:v>
      </x:c>
      <x:c r="H4" s="21" t="str">
        <x:v>Priorität</x:v>
      </x:c>
    </x:row>
    <x:row r="5">
      <x:c r="A5" s="52" t="str">
        <x:v>Event Registry / NewsAPI.ai</x:v>
      </x:c>
      <x:c r="B5" s="52" t="str">
        <x:v>https://eventregistry.org/</x:v>
      </x:c>
      <x:c r="C5" s="52" t="str">
        <x:v>Globale News API</x:v>
      </x:c>
      <x:c r="D5" s="52" t="str">
        <x:v>150.000+ Quellen, 60+ Sprachen</x:v>
      </x:c>
      <x:c r="E5" s="52" t="str">
        <x:v>Artikel-/Event-Clustering, Entity Search, Near-real-time Monitoring</x:v>
      </x:c>
      <x:c r="F5" s="52" t="str">
        <x:v>Sehr breite internationale Quellenbasis</x:v>
      </x:c>
      <x:c r="G5" s="52" t="str">
        <x:v>Kosten; Fußballquellen müssen sauber kuratiert werden</x:v>
      </x:c>
      <x:c r="H5" s="53" t="n">
        <x:v>1</x:v>
      </x:c>
    </x:row>
    <x:row r="6">
      <x:c r="A6" s="36" t="str">
        <x:v>GDELT</x:v>
      </x:c>
      <x:c r="B6" s="36" t="str">
        <x:v>https://gdeltproject.org/</x:v>
      </x:c>
      <x:c r="C6" s="36" t="str">
        <x:v>Open Global News Data</x:v>
      </x:c>
      <x:c r="D6" s="36" t="str">
        <x:v>Globale Medien, 65 Sprachen live übersetzt; weitere Datensätze</x:v>
      </x:c>
      <x:c r="E6" s="36" t="str">
        <x:v>Frühe Signale, lokale Medien, Zitat- und Ereignissuche</x:v>
      </x:c>
      <x:c r="F6" s="36" t="str">
        <x:v>Kostenlos, enorme Breite</x:v>
      </x:c>
      <x:c r="G6" s="36" t="str">
        <x:v>Rauschen, Deduplizierung und Qualitätsfilter nötig</x:v>
      </x:c>
      <x:c r="H6" s="37" t="n">
        <x:v>2</x:v>
      </x:c>
    </x:row>
    <x:row r="7">
      <x:c r="A7" s="52" t="str">
        <x:v>Feedly Market Intelligence</x:v>
      </x:c>
      <x:c r="B7" s="52" t="str">
        <x:v>https://feedly.com/market-intelligence</x:v>
      </x:c>
      <x:c r="C7" s="52" t="str">
        <x:v>AI/RSS Monitoring</x:v>
      </x:c>
      <x:c r="D7" s="52" t="str">
        <x:v>Tausende bis Millionen Quellen</x:v>
      </x:c>
      <x:c r="E7" s="52" t="str">
        <x:v>Club-/Spieler-/Reporter-Feeds, AI Priorisierung, Newsletter</x:v>
      </x:c>
      <x:c r="F7" s="52" t="str">
        <x:v>Gute Team-Workflows</x:v>
      </x:c>
      <x:c r="G7" s="52" t="str">
        <x:v>Premiumkosten; nicht sportspezifisch</x:v>
      </x:c>
      <x:c r="H7" s="53" t="n">
        <x:v>1</x:v>
      </x:c>
    </x:row>
    <x:row r="8">
      <x:c r="A8" s="36" t="str">
        <x:v>Inoreader</x:v>
      </x:c>
      <x:c r="B8" s="36" t="str">
        <x:v>https://www.inoreader.com/</x:v>
      </x:c>
      <x:c r="C8" s="36" t="str">
        <x:v>RSS/Web Monitoring</x:v>
      </x:c>
      <x:c r="D8" s="36" t="str">
        <x:v>RSS, Webseiten ohne RSS, Social/Newsletter</x:v>
      </x:c>
      <x:c r="E8" s="36" t="str">
        <x:v>Regeln, Tags, Monitoring jedes Clubs und lokalen Mediums</x:v>
      </x:c>
      <x:c r="F8" s="36" t="str">
        <x:v>Flexibel und günstiger Einstieg</x:v>
      </x:c>
      <x:c r="G8" s="36" t="str">
        <x:v>Mehr manuelle Konfiguration</x:v>
      </x:c>
      <x:c r="H8" s="37" t="n">
        <x:v>1</x:v>
      </x:c>
    </x:row>
    <x:row r="9">
      <x:c r="A9" s="52" t="str">
        <x:v>Meltwater</x:v>
      </x:c>
      <x:c r="B9" s="52" t="str">
        <x:v>https://www.meltwater.com/</x:v>
      </x:c>
      <x:c r="C9" s="52" t="str">
        <x:v>Enterprise Media Intelligence</x:v>
      </x:c>
      <x:c r="D9" s="52" t="str">
        <x:v>News, Social, Foren, Broadcast</x:v>
      </x:c>
      <x:c r="E9" s="52" t="str">
        <x:v>Globale Monitoring-, Alerts- und Reputationsebene</x:v>
      </x:c>
      <x:c r="F9" s="52" t="str">
        <x:v>Starkes Enterprise-Monitoring</x:v>
      </x:c>
      <x:c r="G9" s="52" t="str">
        <x:v>Hoher Preis und viele irrelevante Treffer ohne Tuning</x:v>
      </x:c>
      <x:c r="H9" s="53" t="n">
        <x:v>2</x:v>
      </x:c>
    </x:row>
    <x:row r="10">
      <x:c r="A10" s="36" t="str">
        <x:v>Brandwatch</x:v>
      </x:c>
      <x:c r="B10" s="36" t="str">
        <x:v>https://www.brandwatch.com/</x:v>
      </x:c>
      <x:c r="C10" s="36" t="str">
        <x:v>Social Listening</x:v>
      </x:c>
      <x:c r="D10" s="36" t="str">
        <x:v>Social Networks, Web, Foren</x:v>
      </x:c>
      <x:c r="E10" s="36" t="str">
        <x:v>Frühe Social-Signale, Fan- und Reporteraktivität</x:v>
      </x:c>
      <x:c r="F10" s="36" t="str">
        <x:v>Sehr leistungsfähige Queries</x:v>
      </x:c>
      <x:c r="G10" s="36" t="str">
        <x:v>Teuer; News-Primärquellen ergänzen</x:v>
      </x:c>
      <x:c r="H10" s="37" t="n">
        <x:v>2</x:v>
      </x:c>
    </x:row>
    <x:row r="11">
      <x:c r="A11" s="52" t="str">
        <x:v>Google News / Google Alerts</x:v>
      </x:c>
      <x:c r="B11" s="52" t="str">
        <x:v>https://news.google.com/</x:v>
      </x:c>
      <x:c r="C11" s="52" t="str">
        <x:v>Kostenloses Monitoring</x:v>
      </x:c>
      <x:c r="D11" s="52" t="str">
        <x:v>Web-News</x:v>
      </x:c>
      <x:c r="E11" s="52" t="str">
        <x:v>Backup-Alerts für Spieler/Vereine/Keywords</x:v>
      </x:c>
      <x:c r="F11" s="52" t="str">
        <x:v>Schnell und kostenlos</x:v>
      </x:c>
      <x:c r="G11" s="52" t="str">
        <x:v>Nicht vollständig, geringe Steuerbarkeit</x:v>
      </x:c>
      <x:c r="H11" s="53" t="n">
        <x:v>3</x:v>
      </x:c>
    </x:row>
    <x:row r="12">
      <x:c r="A12" s="36" t="str">
        <x:v>Talkwalker Alerts</x:v>
      </x:c>
      <x:c r="B12" s="36" t="str">
        <x:v>https://www.talkwalker.com/alerts</x:v>
      </x:c>
      <x:c r="C12" s="36" t="str">
        <x:v>Kostenlose Web Alerts</x:v>
      </x:c>
      <x:c r="D12" s="36" t="str">
        <x:v>Web, Blogs, Diskussionen</x:v>
      </x:c>
      <x:c r="E12" s="36" t="str">
        <x:v>Zusätzliche Keyword-Alerts</x:v>
      </x:c>
      <x:c r="F12" s="36" t="str">
        <x:v>Kostenlos</x:v>
      </x:c>
      <x:c r="G12" s="36" t="str">
        <x:v>Nicht vollständig</x:v>
      </x:c>
      <x:c r="H12" s="37" t="n">
        <x:v>3</x:v>
      </x:c>
    </x:row>
    <x:row r="13">
      <x:c r="A13" s="52" t="str">
        <x:v>X Pro / X API</x:v>
      </x:c>
      <x:c r="B13" s="52" t="str">
        <x:v>https://developer.x.com/</x:v>
      </x:c>
      <x:c r="C13" s="52" t="str">
        <x:v>Social/Reporter Monitoring</x:v>
      </x:c>
      <x:c r="D13" s="52" t="str">
        <x:v>X-Konten und Streams</x:v>
      </x:c>
      <x:c r="E13" s="52" t="str">
        <x:v>Named Reporter, Clubs, Agents und Breaking News</x:v>
      </x:c>
      <x:c r="F13" s="52" t="str">
        <x:v>Sehr frühe Signale</x:v>
      </x:c>
      <x:c r="G13" s="52" t="str">
        <x:v>API-Kosten, Plattformrisiko, Verifizierung nötig</x:v>
      </x:c>
      <x:c r="H13" s="53" t="n">
        <x:v>1</x:v>
      </x:c>
    </x:row>
    <x:row r="14">
      <x:c r="A14" s="36" t="str">
        <x:v>Telegram Monitoring</x:v>
      </x:c>
      <x:c r="B14" s="36" t="str">
        <x:v>https://telegram.org/</x:v>
      </x:c>
      <x:c r="C14" s="36" t="str">
        <x:v>Messaging / Channels</x:v>
      </x:c>
      <x:c r="D14" s="36" t="str">
        <x:v>Öffentliche Kanäle</x:v>
      </x:c>
      <x:c r="E14" s="36" t="str">
        <x:v>Lokale Transferkanäle und Reporter</x:v>
      </x:c>
      <x:c r="F14" s="36" t="str">
        <x:v>Teilweise sehr frühe Informationen</x:v>
      </x:c>
      <x:c r="G14" s="36" t="str">
        <x:v>Hohe Fake-Rate, schwierige Rechte/Verifikation</x:v>
      </x:c>
      <x:c r="H14" s="37" t="n">
        <x:v>3</x:v>
      </x:c>
    </x:row>
    <x:row r="15">
      <x:c r="A15" s="52" t="str">
        <x:v>Weibo</x:v>
      </x:c>
      <x:c r="B15" s="52" t="str">
        <x:v>https://weibo.com/</x:v>
      </x:c>
      <x:c r="C15" s="52" t="str">
        <x:v>China Social Monitoring</x:v>
      </x:c>
      <x:c r="D15" s="52" t="str">
        <x:v>Clubs, Spieler, Journalisten in China</x:v>
      </x:c>
      <x:c r="E15" s="52" t="str">
        <x:v>Primärkanal für chinesische Club-/Transfermeldungen</x:v>
      </x:c>
      <x:c r="F15" s="52" t="str">
        <x:v>Unverzichtbar für China</x:v>
      </x:c>
      <x:c r="G15" s="52" t="str">
        <x:v>Sprache, API/Access und Verifikation</x:v>
      </x:c>
      <x:c r="H15" s="53" t="n">
        <x:v>1</x:v>
      </x:c>
    </x:row>
    <x:row r="16">
      <x:c r="A16" s="36" t="str">
        <x:v>WeChat Official Accounts</x:v>
      </x:c>
      <x:c r="B16" s="36" t="str">
        <x:v>https://www.wechat.com/</x:v>
      </x:c>
      <x:c r="C16" s="36" t="str">
        <x:v>China Publisher Monitoring</x:v>
      </x:c>
      <x:c r="D16" s="36" t="str">
        <x:v>Offizielle Accounts, lokale Medien</x:v>
      </x:c>
      <x:c r="E16" s="36" t="str">
        <x:v>Club-Mitteilungen und lokale Berichte</x:v>
      </x:c>
      <x:c r="F16" s="36" t="str">
        <x:v>Starke Primär- und Lokalquellen</x:v>
      </x:c>
      <x:c r="G16" s="36" t="str">
        <x:v>Technisch schwerer zu ingestieren</x:v>
      </x:c>
      <x:c r="H16" s="37" t="n">
        <x:v>1</x:v>
      </x:c>
    </x:row>
    <x:row r="17">
      <x:c r="A17" s="52" t="str">
        <x:v>YouTube Transcript Monitoring</x:v>
      </x:c>
      <x:c r="B17" s="52" t="str">
        <x:v>https://www.youtube.com/</x:v>
      </x:c>
      <x:c r="C17" s="52" t="str">
        <x:v>Video/Press Conference Monitoring</x:v>
      </x:c>
      <x:c r="D17" s="52" t="str">
        <x:v>Club-TV, Pressekonferenzen, Podcasts</x:v>
      </x:c>
      <x:c r="E17" s="52" t="str">
        <x:v>Automatische Transkription und Entity Alerts</x:v>
      </x:c>
      <x:c r="F17" s="52" t="str">
        <x:v>Direkte Aussagen und Kontext</x:v>
      </x:c>
      <x:c r="G17" s="52" t="str">
        <x:v>Urheberrechte und Fehler in Transkripten</x:v>
      </x:c>
      <x:c r="H17" s="53" t="n">
        <x:v>2</x:v>
      </x:c>
    </x:row>
    <x:row r="18">
      <x:c r="A18" s="36" t="str">
        <x:v>Podcast/RSS Monitoring</x:v>
      </x:c>
      <x:c r="B18" s="36" t="str"/>
      <x:c r="C18" s="36" t="str">
        <x:v>Audio Intelligence</x:v>
      </x:c>
      <x:c r="D18" s="36" t="str">
        <x:v>Club-Podcasts, lokale Radios, Transferformate</x:v>
      </x:c>
      <x:c r="E18" s="36" t="str">
        <x:v>Transkription, Namen/Clubs erkennen</x:v>
      </x:c>
      <x:c r="F18" s="36" t="str">
        <x:v>Insider und lange Interviews</x:v>
      </x:c>
      <x:c r="G18" s="36" t="str">
        <x:v>Aufwendig, Rechte und Qualität</x:v>
      </x:c>
      <x:c r="H18" s="37" t="n">
        <x:v>2</x:v>
      </x:c>
    </x:row>
    <x:row r="19">
      <x:c r="A19" s="52" t="str">
        <x:v>Email Newsletter Ingestion</x:v>
      </x:c>
      <x:c r="B19" s="52" t="str"/>
      <x:c r="C19" s="52" t="str">
        <x:v>Publisher/Club Newsletter</x:v>
      </x:c>
      <x:c r="D19" s="52" t="str">
        <x:v>Clubs, Ligen, Medien, Agenturen</x:v>
      </x:c>
      <x:c r="E19" s="52" t="str">
        <x:v>Direkte, oft frühere Veröffentlichungen automatisch einlesen</x:v>
      </x:c>
      <x:c r="F19" s="52" t="str">
        <x:v>Zuverlässige Quelle</x:v>
      </x:c>
      <x:c r="G19" s="52" t="str">
        <x:v>Parser und Rechte/Weiterverwendung beachten</x:v>
      </x:c>
      <x:c r="H19" s="53" t="n">
        <x:v>1</x:v>
      </x:c>
    </x:row>
    <x:row r="20">
      <x:c r="A20" s="38" t="str">
        <x:v>Press Release Distribution</x:v>
      </x:c>
      <x:c r="B20" s="38" t="str">
        <x:v>https://www.prnewswire.com/</x:v>
      </x:c>
      <x:c r="C20" s="38" t="str">
        <x:v>Corporate News</x:v>
      </x:c>
      <x:c r="D20" s="38" t="str">
        <x:v>Sponsoren, Eigentümer, Investoren</x:v>
      </x:c>
      <x:c r="E20" s="38" t="str">
        <x:v>Clubfinanzen, Übernahmen, Sponsoren, Managementwechsel</x:v>
      </x:c>
      <x:c r="F20" s="38" t="str">
        <x:v>Zusätzliche Business-Signale</x:v>
      </x:c>
      <x:c r="G20" s="38" t="str">
        <x:v>Wenig sportliche Transfers</x:v>
      </x:c>
      <x:c r="H20" s="39" t="n">
        <x:v>3</x:v>
      </x:c>
    </x:row>
  </x:sheetData>
  <x:mergeCells>
    <x:mergeCell ref="A1:H1"/>
    <x:mergeCell ref="A2:H2"/>
  </x:mergeCells>
  <x:conditionalFormatting sqref="H5:H20">
    <x:cfRule type="expression" dxfId="7" priority="1">
      <x:formula>H5=1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e8ba234c424b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42" hidden="0" customWidth="1"/>
    <x:col min="4" max="4" width="36" hidden="0" customWidth="1"/>
    <x:col min="5" max="5" width="38" hidden="0" customWidth="1"/>
    <x:col min="6" max="6" width="44" hidden="0" customWidth="1"/>
    <x:col min="7" max="7" width="10" hidden="0" customWidth="1"/>
  </x:cols>
  <x:sheetData>
    <x:row r="1" ht="30" customHeight="1">
      <x:c r="A1" s="4" t="str">
        <x:v>Insider- und Marktintelligenz-Netzwerk</x:v>
      </x:c>
      <x:c r="B1" s="4"/>
      <x:c r="C1" s="4"/>
      <x:c r="D1" s="4"/>
      <x:c r="E1" s="4"/>
      <x:c r="F1" s="4"/>
      <x:c r="G1" s="4"/>
    </x:row>
    <x:row r="2" ht="28" customHeight="1">
      <x:c r="A2" s="11" t="str">
        <x:v>Seriöse Insiderinformationen entstehen über verifizierte Beziehungen, nicht über ungeprüfte anonyme Kanäle. Jede Veröffentlichung braucht eine dokumentierte Verifikations- und Rechtsprüfung.</x:v>
      </x:c>
      <x:c r="B2" s="11"/>
      <x:c r="C2" s="11"/>
      <x:c r="D2" s="11"/>
      <x:c r="E2" s="11"/>
      <x:c r="F2" s="11"/>
      <x:c r="G2" s="11"/>
    </x:row>
    <x:row r="4" ht="34" customHeight="1">
      <x:c r="A4" s="21" t="str">
        <x:v>Kanal</x:v>
      </x:c>
      <x:c r="B4" s="21" t="str">
        <x:v>Zielgruppe</x:v>
      </x:c>
      <x:c r="C4" s="21" t="str">
        <x:v>Methode</x:v>
      </x:c>
      <x:c r="D4" s="21" t="str">
        <x:v>Ergebnis</x:v>
      </x:c>
      <x:c r="E4" s="21" t="str">
        <x:v>Verifikation</x:v>
      </x:c>
      <x:c r="F4" s="21" t="str">
        <x:v>Recht/Compliance</x:v>
      </x:c>
      <x:c r="G4" s="21" t="str">
        <x:v>Priorität</x:v>
      </x:c>
    </x:row>
    <x:row r="5">
      <x:c r="A5" s="52" t="str">
        <x:v>Club-Entscheider-Netzwerk</x:v>
      </x:c>
      <x:c r="B5" s="52" t="str">
        <x:v>Sportdirektoren, Technische Direktoren, Heads of Recruitment</x:v>
      </x:c>
      <x:c r="C5" s="52" t="str">
        <x:v>Opt-in Kontakte, regelmäßige kurze Markt-Calls, strukturierte Club-Needs-Abfrage</x:v>
      </x:c>
      <x:c r="D5" s="52" t="str">
        <x:v>Gesuchte Positionen, Budgets, Abgänge, Leihen</x:v>
      </x:c>
      <x:c r="E5" s="52" t="str">
        <x:v>Direkte Bestätigung oder zweite unabhängige Quelle</x:v>
      </x:c>
      <x:c r="F5" s="52" t="str">
        <x:v>Vertraulichkeit und Zweckbindung schriftlich regeln</x:v>
      </x:c>
      <x:c r="G5" s="53" t="n">
        <x:v>1</x:v>
      </x:c>
    </x:row>
    <x:row r="6">
      <x:c r="A6" s="36" t="str">
        <x:v>Agenten-Netzwerk</x:v>
      </x:c>
      <x:c r="B6" s="36" t="str">
        <x:v>FIFA-lizenzierte Agenten und Agenturen</x:v>
      </x:c>
      <x:c r="C6" s="36" t="str">
        <x:v>Verifizierte Accounts, Tipline, Pitch- und Availability-Formular</x:v>
      </x:c>
      <x:c r="D6" s="36" t="str">
        <x:v>Spielerverfügbarkeit, Mandate, Vertragslage, Angebote</x:v>
      </x:c>
      <x:c r="E6" s="36" t="str">
        <x:v>Mandat/Vollmacht, Spieler-/Clubbestätigung</x:v>
      </x:c>
      <x:c r="F6" s="36" t="str">
        <x:v>Keine Veröffentlichung vertraulicher Vertragsdetails ohne Einwilligung</x:v>
      </x:c>
      <x:c r="G6" s="37" t="n">
        <x:v>1</x:v>
      </x:c>
    </x:row>
    <x:row r="7">
      <x:c r="A7" s="52" t="str">
        <x:v>Lokale Beat-Reporter</x:v>
      </x:c>
      <x:c r="B7" s="52" t="str">
        <x:v>Mindestens 1–2 Reporter pro Club</x:v>
      </x:c>
      <x:c r="C7" s="52" t="str">
        <x:v>Reporter-Verzeichnis, X-Listen, Newsletter, direkte Kontakte</x:v>
      </x:c>
      <x:c r="D7" s="52" t="str">
        <x:v>Club-Insider, Training, Verletzungen, Verhandlungen</x:v>
      </x:c>
      <x:c r="E7" s="52" t="str">
        <x:v>Track Record und zweite Quelle</x:v>
      </x:c>
      <x:c r="F7" s="52" t="str">
        <x:v>Quellenschutz, keine Induzierung von Pflichtverletzungen</x:v>
      </x:c>
      <x:c r="G7" s="53" t="n">
        <x:v>1</x:v>
      </x:c>
    </x:row>
    <x:row r="8">
      <x:c r="A8" s="36" t="str">
        <x:v>Club-Pressestellen</x:v>
      </x:c>
      <x:c r="B8" s="36" t="str">
        <x:v>Medienabteilungen aller Clubs</x:v>
      </x:c>
      <x:c r="C8" s="36" t="str">
        <x:v>Presseverteiler, Akkreditierung, direkte Rückfragen</x:v>
      </x:c>
      <x:c r="D8" s="36" t="str">
        <x:v>Bestätigungen, Zitate, Pressekonferenzen</x:v>
      </x:c>
      <x:c r="E8" s="36" t="str">
        <x:v>Primärquelle</x:v>
      </x:c>
      <x:c r="F8" s="36" t="str">
        <x:v>Embargos und Zitierbedingungen beachten</x:v>
      </x:c>
      <x:c r="G8" s="37" t="n">
        <x:v>1</x:v>
      </x:c>
    </x:row>
    <x:row r="9">
      <x:c r="A9" s="52" t="str">
        <x:v>Pressekonferenzen / Mixed Zones</x:v>
      </x:c>
      <x:c r="B9" s="52" t="str">
        <x:v>Trainer, Spieler, Clubführung</x:v>
      </x:c>
      <x:c r="C9" s="52" t="str">
        <x:v>Akkreditierung, Live-Transkript, automatische Entity-Erkennung</x:v>
      </x:c>
      <x:c r="D9" s="52" t="str">
        <x:v>Verletzungen, Kaderplanung, Wechselhinweise</x:v>
      </x:c>
      <x:c r="E9" s="52" t="str">
        <x:v>Audio/Video-Original</x:v>
      </x:c>
      <x:c r="F9" s="52" t="str">
        <x:v>Persönlichkeitsrechte und Kontext wahren</x:v>
      </x:c>
      <x:c r="G9" s="53" t="n">
        <x:v>1</x:v>
      </x:c>
    </x:row>
    <x:row r="10">
      <x:c r="A10" s="36" t="str">
        <x:v>Training Ground Reporting</x:v>
      </x:c>
      <x:c r="B10" s="36" t="str">
        <x:v>Clubtraining und offene Einheiten</x:v>
      </x:c>
      <x:c r="C10" s="36" t="str">
        <x:v>Lokale Reporter, akkreditierte Beobachter</x:v>
      </x:c>
      <x:c r="D10" s="36" t="str">
        <x:v>Abwesenheiten, Probetrainings, Rückkehrer</x:v>
      </x:c>
      <x:c r="E10" s="36" t="str">
        <x:v>Club-Rückfrage; nicht überinterpretieren</x:v>
      </x:c>
      <x:c r="F10" s="36" t="str">
        <x:v>Keine Überwachung nichtöffentlicher Bereiche</x:v>
      </x:c>
      <x:c r="G10" s="37" t="n">
        <x:v>2</x:v>
      </x:c>
    </x:row>
    <x:row r="11">
      <x:c r="A11" s="52" t="str">
        <x:v>Scouts und Analysten</x:v>
      </x:c>
      <x:c r="B11" s="52" t="str">
        <x:v>Clubscouts, unabhängige Scouts, Videoanalysten</x:v>
      </x:c>
      <x:c r="C11" s="52" t="str">
        <x:v>Verifiziertes Expertennetzwerk und strukturierte Reports</x:v>
      </x:c>
      <x:c r="D11" s="52" t="str">
        <x:v>Spielerprofile, Bedarf, Talenthinweise</x:v>
      </x:c>
      <x:c r="E11" s="52" t="str">
        <x:v>Mehrere Bewertungen und Datenabgleich</x:v>
      </x:c>
      <x:c r="F11" s="52" t="str">
        <x:v>Interessenkonflikte offenlegen</x:v>
      </x:c>
      <x:c r="G11" s="53" t="n">
        <x:v>2</x:v>
      </x:c>
    </x:row>
    <x:row r="12">
      <x:c r="A12" s="36" t="str">
        <x:v>TransferRoom</x:v>
      </x:c>
      <x:c r="B12" s="36" t="str">
        <x:v>Clubs und Agenturen</x:v>
      </x:c>
      <x:c r="C12" s="36" t="str">
        <x:v>Club Requirements, verfügbare Spieler, Deal Days</x:v>
      </x:c>
      <x:c r="D12" s="36" t="str">
        <x:v>Echte Marktbedarfe und direkte Kontakte</x:v>
      </x:c>
      <x:c r="E12" s="36" t="str">
        <x:v>Plattformverifizierung</x:v>
      </x:c>
      <x:c r="F12" s="36" t="str">
        <x:v>Plattformbedingungen und Vertraulichkeit beachten</x:v>
      </x:c>
      <x:c r="G12" s="37" t="n">
        <x:v>1</x:v>
      </x:c>
    </x:row>
    <x:row r="13">
      <x:c r="A13" s="52" t="str">
        <x:v>Branchenveranstaltungen</x:v>
      </x:c>
      <x:c r="B13" s="52" t="str">
        <x:v>Sportdirektoren, Agents, Clubs</x:v>
      </x:c>
      <x:c r="C13" s="52" t="str">
        <x:v>TransferRoom Events, Soccerex, World Football Summit, Wyscout Forum</x:v>
      </x:c>
      <x:c r="D13" s="52" t="str">
        <x:v>Kontakte, Trends, Dealflow</x:v>
      </x:c>
      <x:c r="E13" s="52" t="str">
        <x:v>Nachfassgespräch und Bestätigung</x:v>
      </x:c>
      <x:c r="F13" s="52" t="str">
        <x:v>Keine Veröffentlichung off-record</x:v>
      </x:c>
      <x:c r="G13" s="53" t="n">
        <x:v>2</x:v>
      </x:c>
    </x:row>
    <x:row r="14">
      <x:c r="A14" s="36" t="str">
        <x:v>Jugendturniere und Akademien</x:v>
      </x:c>
      <x:c r="B14" s="36" t="str">
        <x:v>Academy Directors, Jugendtrainer, Scouts</x:v>
      </x:c>
      <x:c r="C14" s="36" t="str">
        <x:v>Vor-Ort-Netzwerk, akkreditierte Beobachtung</x:v>
      </x:c>
      <x:c r="D14" s="36" t="str">
        <x:v>Talente, Vertragsstatus, Entwicklungswege</x:v>
      </x:c>
      <x:c r="E14" s="36" t="str">
        <x:v>Alters-/Identitätsprüfung und mehrere Scouts</x:v>
      </x:c>
      <x:c r="F14" s="36" t="str">
        <x:v>Besonderer Minderjährigenschutz</x:v>
      </x:c>
      <x:c r="G14" s="37" t="n">
        <x:v>2</x:v>
      </x:c>
    </x:row>
    <x:row r="15">
      <x:c r="A15" s="52" t="str">
        <x:v>Spielergewerkschaften</x:v>
      </x:c>
      <x:c r="B15" s="52" t="str">
        <x:v>PFA, FIFPRO-Mitglieder, nationale Spielergewerkschaften</x:v>
      </x:c>
      <x:c r="C15" s="52" t="str">
        <x:v>Partnerschaften, öffentliche Reports, Kontakte</x:v>
      </x:c>
      <x:c r="D15" s="52" t="str">
        <x:v>Verfügbarkeit, Vertrags-/Arbeitsmarkttrends</x:v>
      </x:c>
      <x:c r="E15" s="52" t="str">
        <x:v>Offizielle Statements</x:v>
      </x:c>
      <x:c r="F15" s="52" t="str">
        <x:v>Datenschutz und sensible Arbeitsdaten</x:v>
      </x:c>
      <x:c r="G15" s="53" t="n">
        <x:v>2</x:v>
      </x:c>
    </x:row>
    <x:row r="16">
      <x:c r="A16" s="36" t="str">
        <x:v>Whistleblower-/Tipline</x:v>
      </x:c>
      <x:c r="B16" s="36" t="str">
        <x:v>Verifizierte anonyme Quellen</x:v>
      </x:c>
      <x:c r="C16" s="36" t="str">
        <x:v>Verschlüsselte Webform, Signal/WhatsApp Business, sichere Uploads</x:v>
      </x:c>
      <x:c r="D16" s="36" t="str">
        <x:v>Frühe Transfer- und Clubhinweise</x:v>
      </x:c>
      <x:c r="E16" s="36" t="str">
        <x:v>Quellenprüfung, Dokumentenforensik, zweite Quelle</x:v>
      </x:c>
      <x:c r="F16" s="36" t="str">
        <x:v>Kein gestohlenes/hacktes Material; Rechtsprüfung</x:v>
      </x:c>
      <x:c r="G16" s="37" t="n">
        <x:v>2</x:v>
      </x:c>
    </x:row>
    <x:row r="17">
      <x:c r="A17" s="52" t="str">
        <x:v>Agentur- und Spieler-Websites</x:v>
      </x:c>
      <x:c r="B17" s="52" t="str">
        <x:v>Agenturen, Spieler, Familienvertreter</x:v>
      </x:c>
      <x:c r="C17" s="52" t="str">
        <x:v>Automatisches Monitoring und Kontaktverifizierung</x:v>
      </x:c>
      <x:c r="D17" s="52" t="str">
        <x:v>Mandate, Vertragsverlängerungen, Wechselwünsche</x:v>
      </x:c>
      <x:c r="E17" s="52" t="str">
        <x:v>Club-/Spielerbestätigung</x:v>
      </x:c>
      <x:c r="F17" s="52" t="str">
        <x:v>Werbliche Angaben als solche kennzeichnen</x:v>
      </x:c>
      <x:c r="G17" s="53" t="n">
        <x:v>2</x:v>
      </x:c>
    </x:row>
    <x:row r="18">
      <x:c r="A18" s="36" t="str">
        <x:v>Medizin-/Reha-Ökosystem</x:v>
      </x:c>
      <x:c r="B18" s="36" t="str">
        <x:v>Öffentliche Klinik-/Reha-Mitteilungen, Spielerposts</x:v>
      </x:c>
      <x:c r="C18" s="36" t="str">
        <x:v>Nur öffentliche, freiwillig veröffentlichte Angaben</x:v>
      </x:c>
      <x:c r="D18" s="36" t="str">
        <x:v>Comebacks, Reha, Verfügbarkeit</x:v>
      </x:c>
      <x:c r="E18" s="36" t="str">
        <x:v>Offizielle Club-/Spielerquelle</x:v>
      </x:c>
      <x:c r="F18" s="36" t="str">
        <x:v>Keine privaten Gesundheitsdaten; DSGVO streng beachten</x:v>
      </x:c>
      <x:c r="G18" s="37" t="n">
        <x:v>3</x:v>
      </x:c>
    </x:row>
    <x:row r="19">
      <x:c r="A19" s="56" t="str">
        <x:v>Eigentümer-/Investorennetzwerk</x:v>
      </x:c>
      <x:c r="B19" s="56" t="str">
        <x:v>Clubbesitzer, CFOs, Investoren, Sponsoren</x:v>
      </x:c>
      <x:c r="C19" s="56" t="str">
        <x:v>Businesskontakte und Corporate Monitoring</x:v>
      </x:c>
      <x:c r="D19" s="56" t="str">
        <x:v>Budget, Verkäufe, Übernahmen, Liquidität</x:v>
      </x:c>
      <x:c r="E19" s="56" t="str">
        <x:v>Register, Geschäftsberichte, zweite Quelle</x:v>
      </x:c>
      <x:c r="F19" s="56" t="str">
        <x:v>Kapitalmarkt-/Insiderrecht und Vertraulichkeit</x:v>
      </x:c>
      <x:c r="G19" s="57" t="n">
        <x:v>2</x:v>
      </x:c>
    </x:row>
  </x:sheetData>
  <x:mergeCells>
    <x:mergeCell ref="A1:G1"/>
    <x:mergeCell ref="A2:G2"/>
  </x:mergeCells>
  <x:conditionalFormatting sqref="G5:G19">
    <x:cfRule type="expression" dxfId="8" priority="1">
      <x:formula>G5=1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557fd728d546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4" hidden="0" customWidth="1"/>
    <x:col min="4" max="4" width="42" hidden="0" customWidth="1"/>
    <x:col min="5" max="5" width="12" hidden="0" customWidth="1"/>
    <x:col min="6" max="6" width="18" hidden="0" customWidth="1"/>
    <x:col min="7" max="7" width="40" hidden="0" customWidth="1"/>
  </x:cols>
  <x:sheetData>
    <x:row r="1" ht="30" customHeight="1">
      <x:c r="A1" s="4" t="str">
        <x:v>Offizielle Register, Verbands- und Business-Signale</x:v>
      </x:c>
      <x:c r="B1" s="4"/>
      <x:c r="C1" s="4"/>
      <x:c r="D1" s="4"/>
      <x:c r="E1" s="4"/>
      <x:c r="F1" s="4"/>
      <x:c r="G1" s="4"/>
    </x:row>
    <x:row r="2" ht="28" customHeight="1">
      <x:c r="A2" s="11" t="str">
        <x:v>Nicht-redaktionelle Primärsignale für Transfers, Registrierung, Sperren, Eigentümer, Finanzen und Clubrisiken.</x:v>
      </x:c>
      <x:c r="B2" s="11"/>
      <x:c r="C2" s="11"/>
      <x:c r="D2" s="11"/>
      <x:c r="E2" s="11"/>
      <x:c r="F2" s="11"/>
      <x:c r="G2" s="11"/>
    </x:row>
    <x:row r="4" ht="34" customHeight="1">
      <x:c r="A4" s="21" t="str">
        <x:v>Land/Region</x:v>
      </x:c>
      <x:c r="B4" s="21" t="str">
        <x:v>Quelle/Register</x:v>
      </x:c>
      <x:c r="C4" s="21" t="str">
        <x:v>URL</x:v>
      </x:c>
      <x:c r="D4" s="21" t="str">
        <x:v>Information</x:v>
      </x:c>
      <x:c r="E4" s="21" t="str">
        <x:v>Vertrauen</x:v>
      </x:c>
      <x:c r="F4" s="21" t="str">
        <x:v>Rhythmus</x:v>
      </x:c>
      <x:c r="G4" s="21" t="str">
        <x:v>Hinweise</x:v>
      </x:c>
    </x:row>
    <x:row r="5">
      <x:c r="A5" s="52" t="str">
        <x:v>International</x:v>
      </x:c>
      <x:c r="B5" s="52" t="str">
        <x:v>FIFA Transfer Reports</x:v>
      </x:c>
      <x:c r="C5" s="52" t="str">
        <x:v>https://inside.fifa.com/transfer-system/transfer-reports</x:v>
      </x:c>
      <x:c r="D5" s="52" t="str">
        <x:v>Aggregierte internationale Transferzahlen aus TMS</x:v>
      </x:c>
      <x:c r="E5" s="52" t="str">
        <x:v>A1</x:v>
      </x:c>
      <x:c r="F5" s="52" t="str">
        <x:v>Periodisch</x:v>
      </x:c>
      <x:c r="G5" s="53" t="str">
        <x:v>Für Marktbenchmarks, nicht Einzeldeals</x:v>
      </x:c>
    </x:row>
    <x:row r="6">
      <x:c r="A6" s="36" t="str">
        <x:v>International</x:v>
      </x:c>
      <x:c r="B6" s="36" t="str">
        <x:v>FIFA Disciplinary / Legal</x:v>
      </x:c>
      <x:c r="C6" s="36" t="str">
        <x:v>https://inside.fifa.com/legal</x:v>
      </x:c>
      <x:c r="D6" s="36" t="str">
        <x:v>Sperren, Entscheidungen, Transferverbote</x:v>
      </x:c>
      <x:c r="E6" s="36" t="str">
        <x:v>A1</x:v>
      </x:c>
      <x:c r="F6" s="36" t="str">
        <x:v>Täglich/Wöchentlich</x:v>
      </x:c>
      <x:c r="G6" s="37" t="str"/>
    </x:row>
    <x:row r="7">
      <x:c r="A7" s="52" t="str">
        <x:v>Europa</x:v>
      </x:c>
      <x:c r="B7" s="52" t="str">
        <x:v>UEFA Club Competitions / Squad Lists</x:v>
      </x:c>
      <x:c r="C7" s="52" t="str">
        <x:v>https://www.uefa.com/</x:v>
      </x:c>
      <x:c r="D7" s="52" t="str">
        <x:v>Kaderregistrierungen, Wettbewerbslisten, Clubkoeffizienten</x:v>
      </x:c>
      <x:c r="E7" s="52" t="str">
        <x:v>A1</x:v>
      </x:c>
      <x:c r="F7" s="52" t="str">
        <x:v>Bei Registrierungsfristen</x:v>
      </x:c>
      <x:c r="G7" s="53" t="str"/>
    </x:row>
    <x:row r="8">
      <x:c r="A8" s="36" t="str">
        <x:v>Europa</x:v>
      </x:c>
      <x:c r="B8" s="36" t="str">
        <x:v>European Leagues Transfer Windows</x:v>
      </x:c>
      <x:c r="C8" s="36" t="str">
        <x:v>https://europeanleagues.com/transfer-windows/</x:v>
      </x:c>
      <x:c r="D8" s="36" t="str">
        <x:v>Transferfenster und Fristen</x:v>
      </x:c>
      <x:c r="E8" s="36" t="str">
        <x:v>A1/A2</x:v>
      </x:c>
      <x:c r="F8" s="36" t="str">
        <x:v>Saisonal</x:v>
      </x:c>
      <x:c r="G8" s="37" t="str"/>
    </x:row>
    <x:row r="9">
      <x:c r="A9" s="52" t="str">
        <x:v>Deutschland</x:v>
      </x:c>
      <x:c r="B9" s="52" t="str">
        <x:v>Unternehmensregister</x:v>
      </x:c>
      <x:c r="C9" s="52" t="str">
        <x:v>https://www.unternehmensregister.de/</x:v>
      </x:c>
      <x:c r="D9" s="52" t="str">
        <x:v>Jahresabschlüsse, Gesellschaftsdaten, Beteiligungen</x:v>
      </x:c>
      <x:c r="E9" s="52" t="str">
        <x:v>A1</x:v>
      </x:c>
      <x:c r="F9" s="52" t="str">
        <x:v>Monatlich/Ereignis</x:v>
      </x:c>
      <x:c r="G9" s="53" t="str"/>
    </x:row>
    <x:row r="10">
      <x:c r="A10" s="36" t="str">
        <x:v>Deutschland</x:v>
      </x:c>
      <x:c r="B10" s="36" t="str">
        <x:v>Bundesanzeiger</x:v>
      </x:c>
      <x:c r="C10" s="36" t="str">
        <x:v>https://www.bundesanzeiger.de/</x:v>
      </x:c>
      <x:c r="D10" s="36" t="str">
        <x:v>Bekanntmachungen und Finanzberichte</x:v>
      </x:c>
      <x:c r="E10" s="36" t="str">
        <x:v>A1</x:v>
      </x:c>
      <x:c r="F10" s="36" t="str">
        <x:v>Monatlich/Ereignis</x:v>
      </x:c>
      <x:c r="G10" s="37" t="str"/>
    </x:row>
    <x:row r="11">
      <x:c r="A11" s="52" t="str">
        <x:v>England/Schottland</x:v>
      </x:c>
      <x:c r="B11" s="52" t="str">
        <x:v>Companies House</x:v>
      </x:c>
      <x:c r="C11" s="52" t="str">
        <x:v>https://find-and-update.company-information.service.gov.uk/</x:v>
      </x:c>
      <x:c r="D11" s="52" t="str">
        <x:v>Gesellschaftsdaten, Directors, Accounts, Charges</x:v>
      </x:c>
      <x:c r="E11" s="52" t="str">
        <x:v>A1</x:v>
      </x:c>
      <x:c r="F11" s="52" t="str">
        <x:v>Täglich bei Alerts</x:v>
      </x:c>
      <x:c r="G11" s="53" t="str"/>
    </x:row>
    <x:row r="12">
      <x:c r="A12" s="36" t="str">
        <x:v>Spanien</x:v>
      </x:c>
      <x:c r="B12" s="36" t="str">
        <x:v>BORME</x:v>
      </x:c>
      <x:c r="C12" s="36" t="str">
        <x:v>https://www.boe.es/diario_borme/</x:v>
      </x:c>
      <x:c r="D12" s="36" t="str">
        <x:v>Unternehmensbekanntmachungen</x:v>
      </x:c>
      <x:c r="E12" s="36" t="str">
        <x:v>A1</x:v>
      </x:c>
      <x:c r="F12" s="36" t="str">
        <x:v>Täglich/Ereignis</x:v>
      </x:c>
      <x:c r="G12" s="37" t="str"/>
    </x:row>
    <x:row r="13">
      <x:c r="A13" s="52" t="str">
        <x:v>Italien</x:v>
      </x:c>
      <x:c r="B13" s="52" t="str">
        <x:v>Registro Imprese</x:v>
      </x:c>
      <x:c r="C13" s="52" t="str">
        <x:v>https://www.registroimprese.it/</x:v>
      </x:c>
      <x:c r="D13" s="52" t="str">
        <x:v>Gesellschafts- und Finanzdaten</x:v>
      </x:c>
      <x:c r="E13" s="52" t="str">
        <x:v>A1</x:v>
      </x:c>
      <x:c r="F13" s="52" t="str">
        <x:v>Ereignis</x:v>
      </x:c>
      <x:c r="G13" s="53" t="str"/>
    </x:row>
    <x:row r="14">
      <x:c r="A14" s="36" t="str">
        <x:v>Frankreich</x:v>
      </x:c>
      <x:c r="B14" s="36" t="str">
        <x:v>BODACC</x:v>
      </x:c>
      <x:c r="C14" s="36" t="str">
        <x:v>https://www.bodacc.fr/</x:v>
      </x:c>
      <x:c r="D14" s="36" t="str">
        <x:v>Unternehmensereignisse, Insolvenz, Verkäufe</x:v>
      </x:c>
      <x:c r="E14" s="36" t="str">
        <x:v>A1</x:v>
      </x:c>
      <x:c r="F14" s="36" t="str">
        <x:v>Täglich</x:v>
      </x:c>
      <x:c r="G14" s="37" t="str"/>
    </x:row>
    <x:row r="15">
      <x:c r="A15" s="52" t="str">
        <x:v>Frankreich</x:v>
      </x:c>
      <x:c r="B15" s="52" t="str">
        <x:v>Pappers</x:v>
      </x:c>
      <x:c r="C15" s="52" t="str">
        <x:v>https://www.pappers.fr/</x:v>
      </x:c>
      <x:c r="D15" s="52" t="str">
        <x:v>Aggregierte öffentliche Unternehmensdaten</x:v>
      </x:c>
      <x:c r="E15" s="52" t="str">
        <x:v>A2</x:v>
      </x:c>
      <x:c r="F15" s="52" t="str">
        <x:v>Ereignis</x:v>
      </x:c>
      <x:c r="G15" s="53" t="str">
        <x:v>Primärregister verlinken</x:v>
      </x:c>
    </x:row>
    <x:row r="16">
      <x:c r="A16" s="36" t="str">
        <x:v>Niederlande</x:v>
      </x:c>
      <x:c r="B16" s="36" t="str">
        <x:v>KVK</x:v>
      </x:c>
      <x:c r="C16" s="36" t="str">
        <x:v>https://www.kvk.nl/</x:v>
      </x:c>
      <x:c r="D16" s="36" t="str">
        <x:v>Unternehmensregister, Directors, Einreichungen</x:v>
      </x:c>
      <x:c r="E16" s="36" t="str">
        <x:v>A1</x:v>
      </x:c>
      <x:c r="F16" s="36" t="str">
        <x:v>Ereignis</x:v>
      </x:c>
      <x:c r="G16" s="37" t="str"/>
    </x:row>
    <x:row r="17">
      <x:c r="A17" s="52" t="str">
        <x:v>Belgien</x:v>
      </x:c>
      <x:c r="B17" s="52" t="str">
        <x:v>KBO/CBE Public Search</x:v>
      </x:c>
      <x:c r="C17" s="52" t="str">
        <x:v>https://kbopub.economie.fgov.be/kbopub/zoeknummerform.html</x:v>
      </x:c>
      <x:c r="D17" s="52" t="str">
        <x:v>Unternehmensdaten und Funktionen</x:v>
      </x:c>
      <x:c r="E17" s="52" t="str">
        <x:v>A1</x:v>
      </x:c>
      <x:c r="F17" s="52" t="str">
        <x:v>Ereignis</x:v>
      </x:c>
      <x:c r="G17" s="53" t="str"/>
    </x:row>
    <x:row r="18">
      <x:c r="A18" s="36" t="str">
        <x:v>Österreich</x:v>
      </x:c>
      <x:c r="B18" s="36" t="str">
        <x:v>JustizOnline / Firmenbuch</x:v>
      </x:c>
      <x:c r="C18" s="36" t="str">
        <x:v>https://justizonline.gv.at/</x:v>
      </x:c>
      <x:c r="D18" s="36" t="str">
        <x:v>Firmenbuch und Unternehmensdokumente</x:v>
      </x:c>
      <x:c r="E18" s="36" t="str">
        <x:v>A1</x:v>
      </x:c>
      <x:c r="F18" s="36" t="str">
        <x:v>Ereignis</x:v>
      </x:c>
      <x:c r="G18" s="37" t="str"/>
    </x:row>
    <x:row r="19">
      <x:c r="A19" s="52" t="str">
        <x:v>Schweiz</x:v>
      </x:c>
      <x:c r="B19" s="52" t="str">
        <x:v>ZEFIX</x:v>
      </x:c>
      <x:c r="C19" s="52" t="str">
        <x:v>https://www.zefix.ch/</x:v>
      </x:c>
      <x:c r="D19" s="52" t="str">
        <x:v>Handelsregisterdaten</x:v>
      </x:c>
      <x:c r="E19" s="52" t="str">
        <x:v>A1</x:v>
      </x:c>
      <x:c r="F19" s="52" t="str">
        <x:v>Ereignis</x:v>
      </x:c>
      <x:c r="G19" s="53" t="str"/>
    </x:row>
    <x:row r="20">
      <x:c r="A20" s="36" t="str">
        <x:v>Türkei</x:v>
      </x:c>
      <x:c r="B20" s="36" t="str">
        <x:v>KAP</x:v>
      </x:c>
      <x:c r="C20" s="36" t="str">
        <x:v>https://www.kap.org.tr/</x:v>
      </x:c>
      <x:c r="D20" s="36" t="str">
        <x:v>Börsenmitteilungen, Transfers, Verträge und Finanzen börsennotierter Clubs</x:v>
      </x:c>
      <x:c r="E20" s="36" t="str">
        <x:v>A1</x:v>
      </x:c>
      <x:c r="F20" s="36" t="str">
        <x:v>Echtzeit</x:v>
      </x:c>
      <x:c r="G20" s="37" t="str"/>
    </x:row>
    <x:row r="21">
      <x:c r="A21" s="52" t="str">
        <x:v>Dänemark</x:v>
      </x:c>
      <x:c r="B21" s="52" t="str">
        <x:v>Virk / CVR</x:v>
      </x:c>
      <x:c r="C21" s="52" t="str">
        <x:v>https://datacvr.virk.dk/</x:v>
      </x:c>
      <x:c r="D21" s="52" t="str">
        <x:v>Unternehmensdaten und Abschlüsse</x:v>
      </x:c>
      <x:c r="E21" s="52" t="str">
        <x:v>A1</x:v>
      </x:c>
      <x:c r="F21" s="52" t="str">
        <x:v>Ereignis</x:v>
      </x:c>
      <x:c r="G21" s="53" t="str"/>
    </x:row>
    <x:row r="22">
      <x:c r="A22" s="36" t="str">
        <x:v>USA</x:v>
      </x:c>
      <x:c r="B22" s="36" t="str">
        <x:v>SEC EDGAR</x:v>
      </x:c>
      <x:c r="C22" s="36" t="str">
        <x:v>https://www.sec.gov/edgar/search/</x:v>
      </x:c>
      <x:c r="D22" s="36" t="str">
        <x:v>Öffentliche Unternehmensberichte, soweit einschlägig</x:v>
      </x:c>
      <x:c r="E22" s="36" t="str">
        <x:v>A1</x:v>
      </x:c>
      <x:c r="F22" s="36" t="str">
        <x:v>Ereignis</x:v>
      </x:c>
      <x:c r="G22" s="37" t="str"/>
    </x:row>
    <x:row r="23">
      <x:c r="A23" s="52" t="str">
        <x:v>USA</x:v>
      </x:c>
      <x:c r="B23" s="52" t="str">
        <x:v>State Business Registries</x:v>
      </x:c>
      <x:c r="C23" s="52" t="str"/>
      <x:c r="D23" s="52" t="str">
        <x:v>Gesellschaftsdaten nach Bundesstaat</x:v>
      </x:c>
      <x:c r="E23" s="52" t="str">
        <x:v>A1</x:v>
      </x:c>
      <x:c r="F23" s="52" t="str">
        <x:v>Ereignis</x:v>
      </x:c>
      <x:c r="G23" s="53" t="str">
        <x:v>Je Club/Owner State Registry erfassen</x:v>
      </x:c>
    </x:row>
    <x:row r="24">
      <x:c r="A24" s="36" t="str">
        <x:v>China</x:v>
      </x:c>
      <x:c r="B24" s="36" t="str">
        <x:v>National Enterprise Credit Information Publicity System</x:v>
      </x:c>
      <x:c r="C24" s="36" t="str">
        <x:v>https://www.gsxt.gov.cn/</x:v>
      </x:c>
      <x:c r="D24" s="36" t="str">
        <x:v>Unternehmensdaten, Eigentümer, Sanktionen</x:v>
      </x:c>
      <x:c r="E24" s="36" t="str">
        <x:v>A1</x:v>
      </x:c>
      <x:c r="F24" s="36" t="str">
        <x:v>Ereignis</x:v>
      </x:c>
      <x:c r="G24" s="37" t="str">
        <x:v>Zugang und Sprache beachten</x:v>
      </x:c>
    </x:row>
    <x:row r="25">
      <x:c r="A25" s="52" t="str">
        <x:v>Alle Länder</x:v>
      </x:c>
      <x:c r="B25" s="52" t="str">
        <x:v>Offizielle Liga- und Verbands-Kommuniqués</x:v>
      </x:c>
      <x:c r="C25" s="52" t="str"/>
      <x:c r="D25" s="52" t="str">
        <x:v>Sperren, Registrierungen, Lizenzierung, Auf-/Abstieg</x:v>
      </x:c>
      <x:c r="E25" s="52" t="str">
        <x:v>A1</x:v>
      </x:c>
      <x:c r="F25" s="52" t="str">
        <x:v>Täglich</x:v>
      </x:c>
      <x:c r="G25" s="53" t="str"/>
    </x:row>
    <x:row r="26">
      <x:c r="A26" s="36" t="str">
        <x:v>Alle Länder</x:v>
      </x:c>
      <x:c r="B26" s="36" t="str">
        <x:v>Club-Jahresberichte und Investor Relations</x:v>
      </x:c>
      <x:c r="C26" s="36" t="str"/>
      <x:c r="D26" s="36" t="str">
        <x:v>Budget, Schulden, Strategie, Eigentümer, Transfersummen</x:v>
      </x:c>
      <x:c r="E26" s="36" t="str">
        <x:v>A1</x:v>
      </x:c>
      <x:c r="F26" s="36" t="str">
        <x:v>Quartal/Jahr</x:v>
      </x:c>
      <x:c r="G26" s="37" t="str"/>
    </x:row>
    <x:row r="27">
      <x:c r="A27" s="52" t="str">
        <x:v>Alle Länder</x:v>
      </x:c>
      <x:c r="B27" s="52" t="str">
        <x:v>Spielervermittler-Verzeichnis FIFA</x:v>
      </x:c>
      <x:c r="C27" s="52" t="str">
        <x:v>https://agents.fifa.com/</x:v>
      </x:c>
      <x:c r="D27" s="52" t="str">
        <x:v>Lizenzstatus von Football Agents</x:v>
      </x:c>
      <x:c r="E27" s="52" t="str">
        <x:v>A1</x:v>
      </x:c>
      <x:c r="F27" s="52" t="str">
        <x:v>Bei Kontakt/Deal</x:v>
      </x:c>
      <x:c r="G27" s="53" t="str">
        <x:v>Mandate separat verifizieren</x:v>
      </x:c>
    </x:row>
    <x:row r="28">
      <x:c r="A28" s="38" t="str">
        <x:v>Alle Länder</x:v>
      </x:c>
      <x:c r="B28" s="38" t="str">
        <x:v>Nationale Transfer-/Registrierungslisten</x:v>
      </x:c>
      <x:c r="C28" s="38" t="str"/>
      <x:c r="D28" s="38" t="str">
        <x:v>Registrierte Spielerwechsel und Kaderlisten</x:v>
      </x:c>
      <x:c r="E28" s="38" t="str">
        <x:v>A1</x:v>
      </x:c>
      <x:c r="F28" s="38" t="str">
        <x:v>Transferfenster</x:v>
      </x:c>
      <x:c r="G28" s="39" t="str">
        <x:v>Je Verband unterschiedlich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d0dcb1a860641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72" hidden="0" customWidth="1"/>
    <x:col min="4" max="4" width="24" hidden="0" customWidth="1"/>
    <x:col min="5" max="5" width="28" hidden="0" customWidth="1"/>
  </x:cols>
  <x:sheetData>
    <x:row r="1" ht="30" customHeight="1">
      <x:c r="A1" s="4" t="str">
        <x:v>Redaktioneller Tages- und Qualitätsworkflow</x:v>
      </x:c>
      <x:c r="B1" s="4"/>
      <x:c r="C1" s="4"/>
      <x:c r="D1" s="4"/>
      <x:c r="E1" s="4"/>
    </x:row>
    <x:row r="2" ht="28" customHeight="1">
      <x:c r="A2" s="11" t="str">
        <x:v>Vorschlag für einen mehrsprachigen TransferWire-Newsroom. Die Reihenfolge verbindet automatische Ingestion, lokale Desks, Datenanreicherung und Quellenverifikation.</x:v>
      </x:c>
      <x:c r="B2" s="11"/>
      <x:c r="C2" s="11"/>
      <x:c r="D2" s="11"/>
      <x:c r="E2" s="11"/>
    </x:row>
    <x:row r="4" ht="34" customHeight="1">
      <x:c r="A4" s="21" t="str">
        <x:v>Zeit/Rhythmus</x:v>
      </x:c>
      <x:c r="B4" s="21" t="str">
        <x:v>Workflow</x:v>
      </x:c>
      <x:c r="C4" s="21" t="str">
        <x:v>Konkrete Aufgabe</x:v>
      </x:c>
      <x:c r="D4" s="21" t="str">
        <x:v>Verantwortlich</x:v>
      </x:c>
      <x:c r="E4" s="21" t="str">
        <x:v>Output</x:v>
      </x:c>
    </x:row>
    <x:row r="5">
      <x:c r="A5" s="52" t="str">
        <x:v>00:00–06:00</x:v>
      </x:c>
      <x:c r="B5" s="52" t="str">
        <x:v>Automatische Ingestion</x:v>
      </x:c>
      <x:c r="C5" s="52" t="str">
        <x:v>RSS, APIs, Clubseiten, lokale Medien, Social und Newsletter abrufen; Entity-Normalisierung; Deduplizierung.</x:v>
      </x:c>
      <x:c r="D5" s="52" t="str">
        <x:v>System</x:v>
      </x:c>
      <x:c r="E5" s="53" t="str">
        <x:v>Rohdaten und Cluster</x:v>
      </x:c>
    </x:row>
    <x:row r="6">
      <x:c r="A6" s="36" t="str">
        <x:v>06:00–07:00</x:v>
      </x:c>
      <x:c r="B6" s="36" t="str">
        <x:v>Night Desk Review</x:v>
      </x:c>
      <x:c r="C6" s="36" t="str">
        <x:v>Neue A1/A2-Quellen, offizielle Transfers, Verletzungen, Vertrags-/Registrierungsdaten prüfen.</x:v>
      </x:c>
      <x:c r="D6" s="36" t="str">
        <x:v>Redaktion</x:v>
      </x:c>
      <x:c r="E6" s="37" t="str">
        <x:v>Morgen-Prioritäten</x:v>
      </x:c>
    </x:row>
    <x:row r="7">
      <x:c r="A7" s="52" t="str">
        <x:v>07:00–08:00</x:v>
      </x:c>
      <x:c r="B7" s="52" t="str">
        <x:v>Lower-League Sweep</x:v>
      </x:c>
      <x:c r="C7" s="52" t="str">
        <x:v>Deutschland 3. Liga/Regionalliga sowie Zweitligen und lokale Beat-Quellen prüfen.</x:v>
      </x:c>
      <x:c r="D7" s="52" t="str">
        <x:v>Lower-League Editor</x:v>
      </x:c>
      <x:c r="E7" s="53" t="str">
        <x:v>Nischenmeldungen</x:v>
      </x:c>
    </x:row>
    <x:row r="8">
      <x:c r="A8" s="36" t="str">
        <x:v>08:00–09:00</x:v>
      </x:c>
      <x:c r="B8" s="36" t="str">
        <x:v>Club-Needs Callouts</x:v>
      </x:c>
      <x:c r="C8" s="36" t="str">
        <x:v>TransferRoom/Netzwerk/öffentliche Signale auf gesuchte Positionen und verfügbare Spieler prüfen.</x:v>
      </x:c>
      <x:c r="D8" s="36" t="str">
        <x:v>Market Intelligence</x:v>
      </x:c>
      <x:c r="E8" s="37" t="str">
        <x:v>Vereinsbedarf</x:v>
      </x:c>
    </x:row>
    <x:row r="9">
      <x:c r="A9" s="52" t="str">
        <x:v>09:00–11:00</x:v>
      </x:c>
      <x:c r="B9" s="52" t="str">
        <x:v>Reporter- und Quellenverifikation</x:v>
      </x:c>
      <x:c r="C9" s="52" t="str">
        <x:v>Named Reporter kontaktieren, Club-Pressestellen anfragen, zweite unabhängige Quelle suchen.</x:v>
      </x:c>
      <x:c r="D9" s="52" t="str">
        <x:v>Desk</x:v>
      </x:c>
      <x:c r="E9" s="53" t="str">
        <x:v>Verifizierte Stories</x:v>
      </x:c>
    </x:row>
    <x:row r="10">
      <x:c r="A10" s="36" t="str">
        <x:v>11:00–13:00</x:v>
      </x:c>
      <x:c r="B10" s="36" t="str">
        <x:v>Data Enrichment</x:v>
      </x:c>
      <x:c r="C10" s="36" t="str">
        <x:v>Spielerprofile, Verträge, Marktwerte, Performance, Video und Kaderkontext ergänzen.</x:v>
      </x:c>
      <x:c r="D10" s="36" t="str">
        <x:v>Data/Scouting</x:v>
      </x:c>
      <x:c r="E10" s="37" t="str">
        <x:v>Vollständige Meldungen</x:v>
      </x:c>
    </x:row>
    <x:row r="11">
      <x:c r="A11" s="52" t="str">
        <x:v>13:00–15:00</x:v>
      </x:c>
      <x:c r="B11" s="52" t="str">
        <x:v>Lokale Märkte</x:v>
      </x:c>
      <x:c r="C11" s="52" t="str">
        <x:v>Spanien/Italien/Frankreich/NL/BE/PT/TR lokale Quellen und Radios prüfen.</x:v>
      </x:c>
      <x:c r="D11" s="52" t="str">
        <x:v>Language Desks</x:v>
      </x:c>
      <x:c r="E11" s="53" t="str">
        <x:v>Lokale Exklusivinfos</x:v>
      </x:c>
    </x:row>
    <x:row r="12">
      <x:c r="A12" s="36" t="str">
        <x:v>15:00–18:00</x:v>
      </x:c>
      <x:c r="B12" s="36" t="str">
        <x:v>Training/Pressekonferenzen</x:v>
      </x:c>
      <x:c r="C12" s="36" t="str">
        <x:v>Club-PKs, Mixed Zones, Training, Verletzungsupdates und Kaderentscheidungen monitoren.</x:v>
      </x:c>
      <x:c r="D12" s="36" t="str">
        <x:v>Reporters</x:v>
      </x:c>
      <x:c r="E12" s="37" t="str">
        <x:v>Direkte Aussagen</x:v>
      </x:c>
    </x:row>
    <x:row r="13">
      <x:c r="A13" s="52" t="str">
        <x:v>18:00–22:00</x:v>
      </x:c>
      <x:c r="B13" s="52" t="str">
        <x:v>Matchday/Evening Desk</x:v>
      </x:c>
      <x:c r="C13" s="52" t="str">
        <x:v>Aufstellungen, Nicht-Nominierungen, Interviews, Club-TV und lokale Nachberichte prüfen.</x:v>
      </x:c>
      <x:c r="D13" s="52" t="str">
        <x:v>Live Desk</x:v>
      </x:c>
      <x:c r="E13" s="53" t="str">
        <x:v>Matchday-Signale</x:v>
      </x:c>
    </x:row>
    <x:row r="14">
      <x:c r="A14" s="36" t="str">
        <x:v>22:00–24:00</x:v>
      </x:c>
      <x:c r="B14" s="36" t="str">
        <x:v>Abendliche Marktprüfung</x:v>
      </x:c>
      <x:c r="C14" s="36" t="str">
        <x:v>Späte Transfermeldungen, Südamerika/USA/China-Zeitzonen, Agentennetzwerk.</x:v>
      </x:c>
      <x:c r="D14" s="36" t="str">
        <x:v>Night Desk</x:v>
      </x:c>
      <x:c r="E14" s="37" t="str">
        <x:v>Späte Breaking News</x:v>
      </x:c>
    </x:row>
    <x:row r="15">
      <x:c r="A15" s="52" t="str">
        <x:v>Kontinuierlich</x:v>
      </x:c>
      <x:c r="B15" s="52" t="str">
        <x:v>Source Scoring</x:v>
      </x:c>
      <x:c r="C15" s="52" t="str">
        <x:v>Jede Quelle anhand Track Record, Primärnähe, Named Reporter, Korrekturen und Geschwindigkeit bewerten.</x:v>
      </x:c>
      <x:c r="D15" s="52" t="str">
        <x:v>Editorial Ops</x:v>
      </x:c>
      <x:c r="E15" s="53" t="str">
        <x:v>Dynamischer Vertrauensscore</x:v>
      </x:c>
    </x:row>
    <x:row r="16">
      <x:c r="A16" s="36" t="str">
        <x:v>Kontinuierlich</x:v>
      </x:c>
      <x:c r="B16" s="36" t="str">
        <x:v>Duplicate Detection</x:v>
      </x:c>
      <x:c r="C16" s="36" t="str">
        <x:v>Gleiche Story über Sprachen/Quellen clustern; Originalquelle identifizieren.</x:v>
      </x:c>
      <x:c r="D16" s="36" t="str">
        <x:v>System</x:v>
      </x:c>
      <x:c r="E16" s="37" t="str">
        <x:v>Sauberer Feed</x:v>
      </x:c>
    </x:row>
    <x:row r="17">
      <x:c r="A17" s="52" t="str">
        <x:v>Kontinuierlich</x:v>
      </x:c>
      <x:c r="B17" s="52" t="str">
        <x:v>Corrections Log</x:v>
      </x:c>
      <x:c r="C17" s="52" t="str">
        <x:v>Fehler, Updates und Dementis transparent protokollieren.</x:v>
      </x:c>
      <x:c r="D17" s="52" t="str">
        <x:v>Redaktion</x:v>
      </x:c>
      <x:c r="E17" s="53" t="str">
        <x:v>Vertrauen</x:v>
      </x:c>
    </x:row>
    <x:row r="18">
      <x:c r="A18" s="36" t="str">
        <x:v>Wöchentlich</x:v>
      </x:c>
      <x:c r="B18" s="36" t="str">
        <x:v>Club Coverage Audit</x:v>
      </x:c>
      <x:c r="C18" s="36" t="str">
        <x:v>Für jeden Club prüfen: offizielle Quellen, lokale Reporter, regionale Medien, Agentenkontakte vollständig?</x:v>
      </x:c>
      <x:c r="D18" s="36" t="str">
        <x:v>Editorial Ops</x:v>
      </x:c>
      <x:c r="E18" s="37" t="str">
        <x:v>Abdeckungslücken</x:v>
      </x:c>
    </x:row>
    <x:row r="19">
      <x:c r="A19" s="56" t="str">
        <x:v>Monatlich</x:v>
      </x:c>
      <x:c r="B19" s="56" t="str">
        <x:v>Source Performance Review</x:v>
      </x:c>
      <x:c r="C19" s="56" t="str">
        <x:v>Trefferquote, Geschwindigkeit, Exklusivrate und Korrekturrate je Quelle auswerten.</x:v>
      </x:c>
      <x:c r="D19" s="56" t="str">
        <x:v>Management</x:v>
      </x:c>
      <x:c r="E19" s="57" t="str">
        <x:v>Quellenportfolio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fe1e9bbb85b459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42" hidden="0" customWidth="1"/>
    <x:col min="5" max="5" width="24" hidden="0" customWidth="1"/>
    <x:col min="6" max="6" width="18" hidden="0" customWidth="1"/>
  </x:cols>
  <x:sheetData>
    <x:row r="1" ht="30" customHeight="1">
      <x:c r="A1" s="4" t="str">
        <x:v>Pflichtprofil für jeden einzelnen Club</x:v>
      </x:c>
      <x:c r="B1" s="4"/>
      <x:c r="C1" s="4"/>
      <x:c r="D1" s="4"/>
      <x:c r="E1" s="4"/>
      <x:c r="F1" s="4"/>
    </x:row>
    <x:row r="2" ht="28" customHeight="1">
      <x:c r="A2" s="11" t="str">
        <x:v>Dieses Schema muss für jeden Club der erfassten Ligen befüllt werden. So bleibt die Abdeckung trotz Auf- und Abstieg saisonübergreifend vollständig.</x:v>
      </x:c>
      <x:c r="B2" s="11"/>
      <x:c r="C2" s="11"/>
      <x:c r="D2" s="11"/>
      <x:c r="E2" s="11"/>
      <x:c r="F2" s="11"/>
    </x:row>
    <x:row r="4" ht="34" customHeight="1">
      <x:c r="A4" s="21" t="str">
        <x:v>Ebene</x:v>
      </x:c>
      <x:c r="B4" s="21" t="str">
        <x:v>Quellentyp pro Club</x:v>
      </x:c>
      <x:c r="C4" s="21" t="str">
        <x:v>Vertrauen</x:v>
      </x:c>
      <x:c r="D4" s="21" t="str">
        <x:v>Information</x:v>
      </x:c>
      <x:c r="E4" s="21" t="str">
        <x:v>Ingestion</x:v>
      </x:c>
      <x:c r="F4" s="21" t="str">
        <x:v>Rhythmus</x:v>
      </x:c>
    </x:row>
    <x:row r="5">
      <x:c r="A5" s="52" t="str">
        <x:v>Primär</x:v>
      </x:c>
      <x:c r="B5" s="52" t="str">
        <x:v>Offizielle Club-Website</x:v>
      </x:c>
      <x:c r="C5" s="52" t="str">
        <x:v>A1</x:v>
      </x:c>
      <x:c r="D5" s="52" t="str">
        <x:v>Newsroom, Pressemitteilungen, Kader</x:v>
      </x:c>
      <x:c r="E5" s="52" t="str">
        <x:v>RSS/HTML/API</x:v>
      </x:c>
      <x:c r="F5" s="53" t="str">
        <x:v>Täglich</x:v>
      </x:c>
    </x:row>
    <x:row r="6">
      <x:c r="A6" s="36" t="str">
        <x:v>Primär</x:v>
      </x:c>
      <x:c r="B6" s="36" t="str">
        <x:v>Club X/Twitter</x:v>
      </x:c>
      <x:c r="C6" s="36" t="str">
        <x:v>A1</x:v>
      </x:c>
      <x:c r="D6" s="36" t="str">
        <x:v>Breaking News, Aufstellungen, Transfers</x:v>
      </x:c>
      <x:c r="E6" s="36" t="str">
        <x:v>API/Monitoring</x:v>
      </x:c>
      <x:c r="F6" s="37" t="str">
        <x:v>Echtzeit</x:v>
      </x:c>
    </x:row>
    <x:row r="7">
      <x:c r="A7" s="52" t="str">
        <x:v>Primär</x:v>
      </x:c>
      <x:c r="B7" s="52" t="str">
        <x:v>Club Instagram</x:v>
      </x:c>
      <x:c r="C7" s="52" t="str">
        <x:v>A1</x:v>
      </x:c>
      <x:c r="D7" s="52" t="str">
        <x:v>Spielerankünfte, Trainingsbilder, Hinweise</x:v>
      </x:c>
      <x:c r="E7" s="52" t="str">
        <x:v>Monitoring</x:v>
      </x:c>
      <x:c r="F7" s="53" t="str">
        <x:v>Echtzeit</x:v>
      </x:c>
    </x:row>
    <x:row r="8">
      <x:c r="A8" s="36" t="str">
        <x:v>Primär</x:v>
      </x:c>
      <x:c r="B8" s="36" t="str">
        <x:v>Club YouTube / Club-TV</x:v>
      </x:c>
      <x:c r="C8" s="36" t="str">
        <x:v>A1</x:v>
      </x:c>
      <x:c r="D8" s="36" t="str">
        <x:v>Pressekonferenzen, Interviews</x:v>
      </x:c>
      <x:c r="E8" s="36" t="str">
        <x:v>Transcript/Monitoring</x:v>
      </x:c>
      <x:c r="F8" s="37" t="str">
        <x:v>Täglich</x:v>
      </x:c>
    </x:row>
    <x:row r="9">
      <x:c r="A9" s="52" t="str">
        <x:v>Primär</x:v>
      </x:c>
      <x:c r="B9" s="52" t="str">
        <x:v>Club LinkedIn</x:v>
      </x:c>
      <x:c r="C9" s="52" t="str">
        <x:v>A1</x:v>
      </x:c>
      <x:c r="D9" s="52" t="str">
        <x:v>Management-, Business- und Personalnews</x:v>
      </x:c>
      <x:c r="E9" s="52" t="str">
        <x:v>Monitoring</x:v>
      </x:c>
      <x:c r="F9" s="53" t="str">
        <x:v>Wöchentlich</x:v>
      </x:c>
    </x:row>
    <x:row r="10">
      <x:c r="A10" s="36" t="str">
        <x:v>Primär</x:v>
      </x:c>
      <x:c r="B10" s="36" t="str">
        <x:v>Club Newsletter</x:v>
      </x:c>
      <x:c r="C10" s="36" t="str">
        <x:v>A1</x:v>
      </x:c>
      <x:c r="D10" s="36" t="str">
        <x:v>Direkte Mitteilungen</x:v>
      </x:c>
      <x:c r="E10" s="36" t="str">
        <x:v>Email Ingestion</x:v>
      </x:c>
      <x:c r="F10" s="37" t="str">
        <x:v>Täglich</x:v>
      </x:c>
    </x:row>
    <x:row r="11">
      <x:c r="A11" s="52" t="str">
        <x:v>Liga/Verband</x:v>
      </x:c>
      <x:c r="B11" s="52" t="str">
        <x:v>Offizielle Liga-Clubseite</x:v>
      </x:c>
      <x:c r="C11" s="52" t="str">
        <x:v>A1</x:v>
      </x:c>
      <x:c r="D11" s="52" t="str">
        <x:v>Kader, Fixtures, Stats, Dokumente</x:v>
      </x:c>
      <x:c r="E11" s="52" t="str">
        <x:v>API/HTML</x:v>
      </x:c>
      <x:c r="F11" s="53" t="str">
        <x:v>Täglich</x:v>
      </x:c>
    </x:row>
    <x:row r="12">
      <x:c r="A12" s="36" t="str">
        <x:v>Liga/Verband</x:v>
      </x:c>
      <x:c r="B12" s="36" t="str">
        <x:v>Nationaler Verband / Registrierung</x:v>
      </x:c>
      <x:c r="C12" s="36" t="str">
        <x:v>A1</x:v>
      </x:c>
      <x:c r="D12" s="36" t="str">
        <x:v>Registrierungen, Sperren, Fristen</x:v>
      </x:c>
      <x:c r="E12" s="36" t="str">
        <x:v>API/HTML</x:v>
      </x:c>
      <x:c r="F12" s="37" t="str">
        <x:v>Täglich</x:v>
      </x:c>
    </x:row>
    <x:row r="13">
      <x:c r="A13" s="52" t="str">
        <x:v>Lokal</x:v>
      </x:c>
      <x:c r="B13" s="52" t="str">
        <x:v>Lokale Tageszeitung Nr. 1</x:v>
      </x:c>
      <x:c r="C13" s="52" t="str">
        <x:v>A2/B</x:v>
      </x:c>
      <x:c r="D13" s="52" t="str">
        <x:v>Beat Reporting, Club-Insider</x:v>
      </x:c>
      <x:c r="E13" s="52" t="str">
        <x:v>RSS/Abo</x:v>
      </x:c>
      <x:c r="F13" s="53" t="str">
        <x:v>Täglich</x:v>
      </x:c>
    </x:row>
    <x:row r="14">
      <x:c r="A14" s="36" t="str">
        <x:v>Lokal</x:v>
      </x:c>
      <x:c r="B14" s="36" t="str">
        <x:v>Lokale Tageszeitung Nr. 2</x:v>
      </x:c>
      <x:c r="C14" s="36" t="str">
        <x:v>A2/B</x:v>
      </x:c>
      <x:c r="D14" s="36" t="str">
        <x:v>Zweitquelle und Business</x:v>
      </x:c>
      <x:c r="E14" s="36" t="str">
        <x:v>RSS/Abo</x:v>
      </x:c>
      <x:c r="F14" s="37" t="str">
        <x:v>Täglich</x:v>
      </x:c>
    </x:row>
    <x:row r="15">
      <x:c r="A15" s="52" t="str">
        <x:v>Lokal</x:v>
      </x:c>
      <x:c r="B15" s="52" t="str">
        <x:v>Regionaler TV-/Radiosender</x:v>
      </x:c>
      <x:c r="C15" s="52" t="str">
        <x:v>A2/B</x:v>
      </x:c>
      <x:c r="D15" s="52" t="str">
        <x:v>Interviews, Pressetermine</x:v>
      </x:c>
      <x:c r="E15" s="52" t="str">
        <x:v>RSS/Transcript</x:v>
      </x:c>
      <x:c r="F15" s="53" t="str">
        <x:v>Täglich</x:v>
      </x:c>
    </x:row>
    <x:row r="16">
      <x:c r="A16" s="36" t="str">
        <x:v>Reporter</x:v>
      </x:c>
      <x:c r="B16" s="36" t="str">
        <x:v>Named Beat Reporter 1</x:v>
      </x:c>
      <x:c r="C16" s="36" t="str">
        <x:v>A2</x:v>
      </x:c>
      <x:c r="D16" s="36" t="str">
        <x:v>Transfers, Verletzungen, Training</x:v>
      </x:c>
      <x:c r="E16" s="36" t="str">
        <x:v>X/Newsletter/Direkt</x:v>
      </x:c>
      <x:c r="F16" s="37" t="str">
        <x:v>Echtzeit</x:v>
      </x:c>
    </x:row>
    <x:row r="17">
      <x:c r="A17" s="52" t="str">
        <x:v>Reporter</x:v>
      </x:c>
      <x:c r="B17" s="52" t="str">
        <x:v>Named Beat Reporter 2</x:v>
      </x:c>
      <x:c r="C17" s="52" t="str">
        <x:v>A2/B</x:v>
      </x:c>
      <x:c r="D17" s="52" t="str">
        <x:v>Zweitquelle und lokale Kontakte</x:v>
      </x:c>
      <x:c r="E17" s="52" t="str">
        <x:v>X/Newsletter/Direkt</x:v>
      </x:c>
      <x:c r="F17" s="53" t="str">
        <x:v>Echtzeit</x:v>
      </x:c>
    </x:row>
    <x:row r="18">
      <x:c r="A18" s="36" t="str">
        <x:v>Transfer</x:v>
      </x:c>
      <x:c r="B18" s="36" t="str">
        <x:v>Nationaler Transfer Desk</x:v>
      </x:c>
      <x:c r="C18" s="36" t="str">
        <x:v>A2/B</x:v>
      </x:c>
      <x:c r="D18" s="36" t="str">
        <x:v>Marktweite Transfernews</x:v>
      </x:c>
      <x:c r="E18" s="36" t="str">
        <x:v>RSS/API</x:v>
      </x:c>
      <x:c r="F18" s="37" t="str">
        <x:v>Echtzeit</x:v>
      </x:c>
    </x:row>
    <x:row r="19">
      <x:c r="A19" s="52" t="str">
        <x:v>Daten</x:v>
      </x:c>
      <x:c r="B19" s="52" t="str">
        <x:v>Strukturierter Datenprovider</x:v>
      </x:c>
      <x:c r="C19" s="52" t="str">
        <x:v>A1/A2</x:v>
      </x:c>
      <x:c r="D19" s="52" t="str">
        <x:v>Kader, Verträge, Stats</x:v>
      </x:c>
      <x:c r="E19" s="52" t="str">
        <x:v>API</x:v>
      </x:c>
      <x:c r="F19" s="53" t="str">
        <x:v>Täglich</x:v>
      </x:c>
    </x:row>
    <x:row r="20">
      <x:c r="A20" s="36" t="str">
        <x:v>Scouting</x:v>
      </x:c>
      <x:c r="B20" s="36" t="str">
        <x:v>Video-/Scoutingplattform</x:v>
      </x:c>
      <x:c r="C20" s="36" t="str">
        <x:v>A2</x:v>
      </x:c>
      <x:c r="D20" s="36" t="str">
        <x:v>Spielerprüfung und Profil</x:v>
      </x:c>
      <x:c r="E20" s="36" t="str">
        <x:v>Subscription/API</x:v>
      </x:c>
      <x:c r="F20" s="37" t="str">
        <x:v>Bei Story</x:v>
      </x:c>
    </x:row>
    <x:row r="21">
      <x:c r="A21" s="52" t="str">
        <x:v>Direkt</x:v>
      </x:c>
      <x:c r="B21" s="52" t="str">
        <x:v>Spieler / Agent / Agentur</x:v>
      </x:c>
      <x:c r="C21" s="52" t="str">
        <x:v>A1/B</x:v>
      </x:c>
      <x:c r="D21" s="52" t="str">
        <x:v>Mandat, Verfügbarkeit, Vertragslage</x:v>
      </x:c>
      <x:c r="E21" s="52" t="str">
        <x:v>Direkt/Monitoring</x:v>
      </x:c>
      <x:c r="F21" s="53" t="str">
        <x:v>Bei Story</x:v>
      </x:c>
    </x:row>
    <x:row r="22">
      <x:c r="A22" s="36" t="str">
        <x:v>Business</x:v>
      </x:c>
      <x:c r="B22" s="36" t="str">
        <x:v>Unternehmensregister / Jahresbericht</x:v>
      </x:c>
      <x:c r="C22" s="36" t="str">
        <x:v>A1</x:v>
      </x:c>
      <x:c r="D22" s="36" t="str">
        <x:v>Eigentümer, Finanzen, Management</x:v>
      </x:c>
      <x:c r="E22" s="36" t="str">
        <x:v>Alert/Manual</x:v>
      </x:c>
      <x:c r="F22" s="37" t="str">
        <x:v>Ereignis</x:v>
      </x:c>
    </x:row>
    <x:row r="23">
      <x:c r="A23" s="56" t="str">
        <x:v>Fan/Community</x:v>
      </x:c>
      <x:c r="B23" s="56" t="str">
        <x:v>Verifizierte Fan-/Communityquellen</x:v>
      </x:c>
      <x:c r="C23" s="56" t="str">
        <x:v>C</x:v>
      </x:c>
      <x:c r="D23" s="56" t="str">
        <x:v>Frühe Hinweise und Stimmung</x:v>
      </x:c>
      <x:c r="E23" s="56" t="str">
        <x:v>Monitoring</x:v>
      </x:c>
      <x:c r="F23" s="57" t="str">
        <x:v>Optional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77ec0e527c2417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10" hidden="0" customWidth="1"/>
  </x:cols>
  <x:sheetData>
    <x:row r="1" ht="30" customHeight="1">
      <x:c r="A1" s="4" t="str">
        <x:v>Mehrsprachige Transfer-Suchbegriffe</x:v>
      </x:c>
      <x:c r="B1" s="4"/>
      <x:c r="C1" s="4"/>
    </x:row>
    <x:row r="2" ht="28" customHeight="1">
      <x:c r="A2" s="11" t="str">
        <x:v>Diese Begriffe sollten in News-, Social-, Newsletter- und Reporter-Monitoring mit Club-, Spieler- und Positionsnamen kombiniert werden.</x:v>
      </x:c>
      <x:c r="B2" s="11"/>
      <x:c r="C2" s="11"/>
    </x:row>
    <x:row r="4" ht="34" customHeight="1">
      <x:c r="A4" s="21" t="str">
        <x:v>Markt</x:v>
      </x:c>
      <x:c r="B4" s="21" t="str">
        <x:v>Sprache</x:v>
      </x:c>
      <x:c r="C4" s="21" t="str">
        <x:v>Suchbegriffe und Signalwörter</x:v>
      </x:c>
    </x:row>
    <x:row r="5">
      <x:c r="A5" s="52" t="str">
        <x:v>Deutschland/Österreich/Schweiz</x:v>
      </x:c>
      <x:c r="B5" s="52" t="str">
        <x:v>DE</x:v>
      </x:c>
      <x:c r="C5" s="53" t="str">
        <x:v>Transfer, Wechsel, verpflichtet, verlässt, Interesse, Gespräche, Verhandlungen, Leihe, ablösefrei, Vertrag verlängert, Vertrag aufgelöst, Probetraining, Kaderplatz</x:v>
      </x:c>
    </x:row>
    <x:row r="6">
      <x:c r="A6" s="36" t="str">
        <x:v>England/USA/Schottland</x:v>
      </x:c>
      <x:c r="B6" s="36" t="str">
        <x:v>EN</x:v>
      </x:c>
      <x:c r="C6" s="37" t="str">
        <x:v>transfer, signs, joins, set to sign, interest, talks, negotiations, bid, offer, loan, free agent, contract terminated, trialist, roster move, acquired, traded, waived</x:v>
      </x:c>
    </x:row>
    <x:row r="7">
      <x:c r="A7" s="52" t="str">
        <x:v>Spanien</x:v>
      </x:c>
      <x:c r="B7" s="52" t="str">
        <x:v>ES</x:v>
      </x:c>
      <x:c r="C7" s="53" t="str">
        <x:v>fichaje, traspaso, cesión, interés, negocia, oferta, agente libre, rescisión, renovación, prueba, incorporación, salida</x:v>
      </x:c>
    </x:row>
    <x:row r="8">
      <x:c r="A8" s="36" t="str">
        <x:v>Italien</x:v>
      </x:c>
      <x:c r="B8" s="36" t="str">
        <x:v>IT</x:v>
      </x:c>
      <x:c r="C8" s="37" t="str">
        <x:v>calciomercato, trattativa, interesse, offerta, prestito, svincolato, rescissione, rinnovo, visite mediche, ufficiale, in prova</x:v>
      </x:c>
    </x:row>
    <x:row r="9">
      <x:c r="A9" s="52" t="str">
        <x:v>Frankreich/Belgien/Schweiz</x:v>
      </x:c>
      <x:c r="B9" s="52" t="str">
        <x:v>FR</x:v>
      </x:c>
      <x:c r="C9" s="53" t="str">
        <x:v>mercato, transfert, prêt, intérêt, discussions, offre, joueur libre, résiliation, prolongation, visite médicale, essai</x:v>
      </x:c>
    </x:row>
    <x:row r="10">
      <x:c r="A10" s="36" t="str">
        <x:v>Niederlande/Belgien</x:v>
      </x:c>
      <x:c r="B10" s="36" t="str">
        <x:v>NL</x:v>
      </x:c>
      <x:c r="C10" s="37" t="str">
        <x:v>transfer, belangstelling, onderhandelingen, bod, huurt, verhuurt, transfervrij, contract ontbonden, contract verlengd, medische keuring, proefspeler</x:v>
      </x:c>
    </x:row>
    <x:row r="11">
      <x:c r="A11" s="52" t="str">
        <x:v>Portugal</x:v>
      </x:c>
      <x:c r="B11" s="52" t="str">
        <x:v>PT</x:v>
      </x:c>
      <x:c r="C11" s="53" t="str">
        <x:v>mercado, transferência, empréstimo, interesse, negociações, proposta, jogador livre, rescisão, renovação, exames médicos, experiência</x:v>
      </x:c>
    </x:row>
    <x:row r="12">
      <x:c r="A12" s="36" t="str">
        <x:v>Türkei</x:v>
      </x:c>
      <x:c r="B12" s="36" t="str">
        <x:v>TR</x:v>
      </x:c>
      <x:c r="C12" s="37" t="str">
        <x:v>transfer, kiralık, bonservis, ilgileniyor, görüşme, teklif, sözleşme feshi, sözleşme uzattı, serbest, sağlık kontrolü, deneme</x:v>
      </x:c>
    </x:row>
    <x:row r="13">
      <x:c r="A13" s="52" t="str">
        <x:v>Dänemark</x:v>
      </x:c>
      <x:c r="B13" s="52" t="str">
        <x:v>DA</x:v>
      </x:c>
      <x:c r="C13" s="53" t="str">
        <x:v>transfer, skifte, interesse, forhandlinger, bud, leje, transferfri, kontrakt ophævet, kontraktforlængelse, lægetjek, prøvetræning</x:v>
      </x:c>
    </x:row>
    <x:row r="14">
      <x:c r="A14" s="38" t="str">
        <x:v>China</x:v>
      </x:c>
      <x:c r="B14" s="38" t="str">
        <x:v>ZH</x:v>
      </x:c>
      <x:c r="C14" s="39" t="str">
        <x:v>转会, 签约, 加盟, 租借, 自由身, 解约, 续约, 有意, 谈判, 报价, 体检, 试训, 离队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6639e415db245d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34" hidden="0" customWidth="1"/>
    <x:col min="5" max="5" width="24" hidden="0" customWidth="1"/>
    <x:col min="6" max="6" width="55" hidden="0" customWidth="1"/>
    <x:col min="7" max="7" width="18" hidden="0" customWidth="1"/>
    <x:col min="8" max="8" width="62" hidden="0" customWidth="1"/>
    <x:col min="9" max="9" width="18" hidden="0" customWidth="1"/>
    <x:col min="10" max="10" width="16" hidden="0" customWidth="1"/>
    <x:col min="11" max="11" width="16" hidden="0" customWidth="1"/>
    <x:col min="12" max="12" width="18" hidden="0" customWidth="1"/>
  </x:cols>
  <x:sheetData>
    <x:row r="1" ht="36" customHeight="1">
      <x:c r="A1" s="61" t="str">
        <x:v>TransferWire – Source Intelligence Operating System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</x:row>
    <x:row r="2" ht="32" customHeight="1">
      <x:c r="A2" s="10" t="str">
        <x:v>Ziel: Für jeden Club ein vollständiges Quellenprofil aus offiziellen, lokalen, nationalen, datenbasierten und direkten Marktquellen. Die Liste ist als wartbares Register gedacht – nicht als einmalige statische Linkliste.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66" t="str">
        <x:v>LÄNDERQUELLEN</x:v>
      </x:c>
      <x:c r="B4" s="66"/>
      <x:c r="D4" s="66" t="str">
        <x:v>A1-PRIMÄRQUELLEN</x:v>
      </x:c>
      <x:c r="E4" s="66"/>
      <x:c r="G4" s="66" t="str">
        <x:v>PRIORITÄT-1-QUELLEN</x:v>
      </x:c>
      <x:c r="H4" s="66"/>
      <x:c r="J4" s="66" t="str">
        <x:v>API/DATENANBIETER</x:v>
      </x:c>
      <x:c r="K4" s="66"/>
    </x:row>
    <x:row r="5">
      <x:c r="A5" s="75" t="n">
        <x:f>COUNTA('01_Laenderquellen'!A5:A1000)</x:f>
        <x:v>181</x:v>
      </x:c>
      <x:c r="B5" s="75"/>
      <x:c r="D5" s="75" t="n">
        <x:f>COUNTIF('01_Laenderquellen'!F5:F1000,"A1")</x:f>
        <x:v>53</x:v>
      </x:c>
      <x:c r="E5" s="75"/>
      <x:c r="G5" s="75" t="n">
        <x:f>COUNTIF('01_Laenderquellen'!G5:G1000,1)</x:f>
        <x:v>172</x:v>
      </x:c>
      <x:c r="H5" s="75"/>
      <x:c r="J5" s="75" t="n">
        <x:f>COUNTA('03_APIs_Daten'!A5:A100)</x:f>
        <x:v>20</x:v>
      </x:c>
      <x:c r="K5" s="75"/>
    </x:row>
    <x:row r="6">
      <x:c r="A6" s="76"/>
      <x:c r="B6" s="76"/>
      <x:c r="D6" s="76"/>
      <x:c r="E6" s="76"/>
      <x:c r="G6" s="76"/>
      <x:c r="H6" s="76"/>
      <x:c r="J6" s="76"/>
      <x:c r="K6" s="76"/>
    </x:row>
    <x:row r="8" ht="24" customHeight="1">
      <x:c r="A8" s="85" t="str">
        <x:v>DIE 7 QUELLENEBENEN</x:v>
      </x:c>
      <x:c r="B8" s="85"/>
      <x:c r="C8" s="85"/>
      <x:c r="D8" s="85"/>
      <x:c r="E8" s="85"/>
      <x:c r="F8" s="85"/>
      <x:c r="G8" s="113" t="str">
        <x:v>VERÖFFENTLICHUNGSREGELN</x:v>
      </x:c>
      <x:c r="H8" s="113"/>
      <x:c r="I8" s="113"/>
      <x:c r="J8" s="113"/>
      <x:c r="K8" s="113"/>
      <x:c r="L8" s="113"/>
    </x:row>
    <x:row r="9">
      <x:c r="A9" s="100" t="str">
        <x:v>1</x:v>
      </x:c>
      <x:c r="B9" s="108" t="str">
        <x:v>Offizielle Primärquellen</x:v>
      </x:c>
      <x:c r="C9" s="90" t="str">
        <x:v>Club, Liga, Verband, Register, direkte Aussagen</x:v>
      </x:c>
      <x:c r="D9" s="90" t="str">
        <x:v>Bestätigung und harte Fakten</x:v>
      </x:c>
      <x:c r="G9" s="108" t="str">
        <x:v>Fixer Deal</x:v>
      </x:c>
      <x:c r="H9" s="90" t="str">
        <x:v>Nur offizielle Club-/Ligaquelle oder zwei unabhängige A1/A2-Quellen.</x:v>
      </x:c>
      <x:c r="I9" s="90" t="str">
        <x:v>Grün</x:v>
      </x:c>
    </x:row>
    <x:row r="10">
      <x:c r="A10" s="100" t="str">
        <x:v>2</x:v>
      </x:c>
      <x:c r="B10" s="108" t="str">
        <x:v>Lokale Beat-Reporter</x:v>
      </x:c>
      <x:c r="C10" s="90" t="str">
        <x:v>Mindestens 1–2 benannte Reporter je Club</x:v>
      </x:c>
      <x:c r="D10" s="90" t="str">
        <x:v>Früheste Clubinformationen</x:v>
      </x:c>
      <x:c r="G10" s="108" t="str">
        <x:v>Gerücht</x:v>
      </x:c>
      <x:c r="H10" s="90" t="str">
        <x:v>Mindestens eine B- oder bessere Quelle; Quelle, Unsicherheit und Status klar nennen.</x:v>
      </x:c>
      <x:c r="I10" s="90" t="str">
        <x:v>Orange</x:v>
      </x:c>
    </x:row>
    <x:row r="11">
      <x:c r="A11" s="100" t="str">
        <x:v>3</x:v>
      </x:c>
      <x:c r="B11" s="108" t="str">
        <x:v>Nationale Fachmedien</x:v>
      </x:c>
      <x:c r="C11" s="90" t="str">
        <x:v>Transferdesks, Agenturen, Qualitätsmedien</x:v>
      </x:c>
      <x:c r="D11" s="90" t="str">
        <x:v>Marktweite Einordnung</x:v>
      </x:c>
      <x:c r="G11" s="108" t="str">
        <x:v>Vereinsbedarf</x:v>
      </x:c>
      <x:c r="H11" s="90" t="str">
        <x:v>Direkte Clubanforderung oder nachvollziehbares Daten-/Kadersignal; nicht als Fakt formulieren.</x:v>
      </x:c>
      <x:c r="I11" s="90" t="str">
        <x:v>Violett</x:v>
      </x:c>
    </x:row>
    <x:row r="12">
      <x:c r="A12" s="100" t="str">
        <x:v>4</x:v>
      </x:c>
      <x:c r="B12" s="108" t="str">
        <x:v>Strukturierte Daten</x:v>
      </x:c>
      <x:c r="C12" s="90" t="str">
        <x:v>Opta/Sportradar/Wyscout/API-Football u.a.</x:v>
      </x:c>
      <x:c r="D12" s="90" t="str">
        <x:v>Profile, Stats, Verträge, Scores</x:v>
      </x:c>
      <x:c r="G12" s="108" t="str">
        <x:v>Insider</x:v>
      </x:c>
      <x:c r="H12" s="90" t="str">
        <x:v>Identität intern dokumentieren, Interessen prüfen, zweite Quelle suchen, Rechtscheck.</x:v>
      </x:c>
      <x:c r="I12" s="90" t="str">
        <x:v>Grau/Violett</x:v>
      </x:c>
    </x:row>
    <x:row r="13">
      <x:c r="A13" s="100" t="str">
        <x:v>5</x:v>
      </x:c>
      <x:c r="B13" s="108" t="str">
        <x:v>Social/News Monitoring</x:v>
      </x:c>
      <x:c r="C13" s="90" t="str">
        <x:v>Event Registry, Feedly, GDELT, X, Weibo, Newsletter</x:v>
      </x:c>
      <x:c r="D13" s="90" t="str">
        <x:v>Entdeckung und Clustering</x:v>
      </x:c>
      <x:c r="G13" s="108" t="str">
        <x:v>Community</x:v>
      </x:c>
      <x:c r="H13" s="90" t="str">
        <x:v>Als ungeprüft kennzeichnen, nicht automatisch hochgewichten, Moderation und Audit Trail.</x:v>
      </x:c>
      <x:c r="I13" s="90" t="str">
        <x:v>Orange-Grau</x:v>
      </x:c>
    </x:row>
    <x:row r="14">
      <x:c r="A14" s="100" t="str">
        <x:v>6</x:v>
      </x:c>
      <x:c r="B14" s="108" t="str">
        <x:v>Direktes Marktnetzwerk</x:v>
      </x:c>
      <x:c r="C14" s="90" t="str">
        <x:v>Clubs, Agents, Scouts, TransferRoom, Events</x:v>
      </x:c>
      <x:c r="D14" s="90" t="str">
        <x:v>Bedarf, Verfügbarkeit, Budget</x:v>
      </x:c>
      <x:c r="G14" s="108" t="str">
        <x:v>Korrektur</x:v>
      </x:c>
      <x:c r="H14" s="90" t="str">
        <x:v>Update/Dementi sichtbar verlinken; ursprüngliche Version und Zeitstempel dokumentieren.</x:v>
      </x:c>
      <x:c r="I14" s="90" t="str">
        <x:v>Rot nur für Fehler</x:v>
      </x:c>
    </x:row>
    <x:row r="15">
      <x:c r="A15" s="101" t="str">
        <x:v>7</x:v>
      </x:c>
      <x:c r="B15" s="109" t="str">
        <x:v>Business &amp; Compliance</x:v>
      </x:c>
      <x:c r="C15" s="91" t="str">
        <x:v>Register, Finanzen, Eigentümer, Lizenzierung, Sperren</x:v>
      </x:c>
      <x:c r="D15" s="91" t="str">
        <x:v>Risiko und Kontext</x:v>
      </x:c>
      <x:c r="G15" s="109" t="str">
        <x:v>Gesundheit</x:v>
      </x:c>
      <x:c r="H15" s="91" t="str">
        <x:v>Nur öffentliche offizielle Angaben; keine privaten medizinischen Daten oder Spekulation.</x:v>
      </x:c>
      <x:c r="I15" s="91" t="str">
        <x:v>Streng geschützt</x:v>
      </x:c>
    </x:row>
    <x:row r="18" ht="24" customHeight="1">
      <x:c r="A18" s="136" t="str">
        <x:v>Land</x:v>
      </x:c>
      <x:c r="B18" s="136" t="str">
        <x:v>Quellen gesamt</x:v>
      </x:c>
      <x:c r="C18" s="136" t="str">
        <x:v>Priorität 1</x:v>
      </x:c>
      <x:c r="D18" s="116"/>
      <x:c r="E18" s="139" t="str">
        <x:v>EMPFOHLENE UMSETZUNG</x:v>
      </x:c>
      <x:c r="F18" s="139"/>
      <x:c r="G18" s="124"/>
      <x:c r="H18" s="124"/>
      <x:c r="I18" s="124"/>
      <x:c r="J18" s="124"/>
      <x:c r="K18" s="124"/>
      <x:c r="L18" s="124"/>
    </x:row>
    <x:row r="19">
      <x:c r="A19" s="88" t="str">
        <x:v>Deutschland</x:v>
      </x:c>
      <x:c r="B19" s="120" t="n">
        <x:f>COUNTIF('01_Laenderquellen'!A5:A1000,A19)</x:f>
        <x:v>17</x:v>
      </x:c>
      <x:c r="C19" s="120" t="n">
        <x:f>COUNTIFS('01_Laenderquellen'!A5:A1000,A19,'01_Laenderquellen'!G5:G1000,1)</x:f>
        <x:v>17</x:v>
      </x:c>
      <x:c r="E19" s="108" t="str">
        <x:v>Phase 1 · 0–6 Wochen</x:v>
      </x:c>
      <x:c r="F19" s="90" t="str">
        <x:v>Club- und Quellenregister, RSS/Newsletter/X-Listen, offizielle Quellen, lokale Beat-Reporter, API-Fallback und Deduplizierung.</x:v>
      </x:c>
    </x:row>
    <x:row r="20">
      <x:c r="A20" s="88" t="str">
        <x:v>England</x:v>
      </x:c>
      <x:c r="B20" s="120" t="n">
        <x:f>COUNTIF('01_Laenderquellen'!A5:A1000,A20)</x:f>
        <x:v>15</x:v>
      </x:c>
      <x:c r="C20" s="120" t="n">
        <x:f>COUNTIFS('01_Laenderquellen'!A5:A1000,A20,'01_Laenderquellen'!G5:G1000,1)</x:f>
        <x:v>14</x:v>
      </x:c>
      <x:c r="E20" s="108" t="str">
        <x:v>Phase 2 · 6–12 Wochen</x:v>
      </x:c>
      <x:c r="F20" s="90" t="str">
        <x:v>Event Registry/Feedly, mehrsprachige Entity-Normalisierung, Source Score, automatische Alerts und Korrektur-Workflow.</x:v>
      </x:c>
    </x:row>
    <x:row r="21">
      <x:c r="A21" s="88" t="str">
        <x:v>Spanien</x:v>
      </x:c>
      <x:c r="B21" s="120" t="n">
        <x:f>COUNTIF('01_Laenderquellen'!A5:A1000,A21)</x:f>
        <x:v>13</x:v>
      </x:c>
      <x:c r="C21" s="120" t="n">
        <x:f>COUNTIFS('01_Laenderquellen'!A5:A1000,A21,'01_Laenderquellen'!G5:G1000,1)</x:f>
        <x:v>12</x:v>
      </x:c>
      <x:c r="E21" s="108" t="str">
        <x:v>Phase 3 · 3–6 Monate</x:v>
      </x:c>
      <x:c r="F21" s="90" t="str">
        <x:v>Enterprise-Datenvertrag (Opta/Sportradar/Wyscout), TransferRoom, eigene Match-/Talent-/Opportunity-Scores.</x:v>
      </x:c>
    </x:row>
    <x:row r="22">
      <x:c r="A22" s="88" t="str">
        <x:v>Italien</x:v>
      </x:c>
      <x:c r="B22" s="120" t="n">
        <x:f>COUNTIF('01_Laenderquellen'!A5:A1000,A22)</x:f>
        <x:v>12</x:v>
      </x:c>
      <x:c r="C22" s="120" t="n">
        <x:f>COUNTIFS('01_Laenderquellen'!A5:A1000,A22,'01_Laenderquellen'!G5:G1000,1)</x:f>
        <x:v>12</x:v>
      </x:c>
      <x:c r="E22" s="109" t="str">
        <x:v>Phase 4 · laufend</x:v>
      </x:c>
      <x:c r="F22" s="91" t="str">
        <x:v>Reporter- und Agentennetzwerk, Events, Club-Needs, exklusive Tipline, Coverage Audit pro Club und Liga.</x:v>
      </x:c>
    </x:row>
    <x:row r="23">
      <x:c r="A23" s="88" t="str">
        <x:v>Frankreich</x:v>
      </x:c>
      <x:c r="B23" s="120" t="n">
        <x:f>COUNTIF('01_Laenderquellen'!A5:A1000,A23)</x:f>
        <x:v>12</x:v>
      </x:c>
      <x:c r="C23" s="120" t="n">
        <x:f>COUNTIFS('01_Laenderquellen'!A5:A1000,A23,'01_Laenderquellen'!G5:G1000,1)</x:f>
        <x:v>12</x:v>
      </x:c>
    </x:row>
    <x:row r="24">
      <x:c r="A24" s="88" t="str">
        <x:v>Niederlande</x:v>
      </x:c>
      <x:c r="B24" s="120" t="n">
        <x:f>COUNTIF('01_Laenderquellen'!A5:A1000,A24)</x:f>
        <x:v>12</x:v>
      </x:c>
      <x:c r="C24" s="120" t="n">
        <x:f>COUNTIFS('01_Laenderquellen'!A5:A1000,A24,'01_Laenderquellen'!G5:G1000,1)</x:f>
        <x:v>11</x:v>
      </x:c>
    </x:row>
    <x:row r="25">
      <x:c r="A25" s="88" t="str">
        <x:v>Portugal</x:v>
      </x:c>
      <x:c r="B25" s="120" t="n">
        <x:f>COUNTIF('01_Laenderquellen'!A5:A1000,A25)</x:f>
        <x:v>10</x:v>
      </x:c>
      <x:c r="C25" s="120" t="n">
        <x:f>COUNTIFS('01_Laenderquellen'!A5:A1000,A25,'01_Laenderquellen'!G5:G1000,1)</x:f>
        <x:v>10</x:v>
      </x:c>
    </x:row>
    <x:row r="26">
      <x:c r="A26" s="88" t="str">
        <x:v>Belgien</x:v>
      </x:c>
      <x:c r="B26" s="120" t="n">
        <x:f>COUNTIF('01_Laenderquellen'!A5:A1000,A26)</x:f>
        <x:v>10</x:v>
      </x:c>
      <x:c r="C26" s="120" t="n">
        <x:f>COUNTIFS('01_Laenderquellen'!A5:A1000,A26,'01_Laenderquellen'!G5:G1000,1)</x:f>
        <x:v>10</x:v>
      </x:c>
    </x:row>
    <x:row r="27">
      <x:c r="A27" s="88" t="str">
        <x:v>Österreich</x:v>
      </x:c>
      <x:c r="B27" s="120" t="n">
        <x:f>COUNTIF('01_Laenderquellen'!A5:A1000,A27)</x:f>
        <x:v>10</x:v>
      </x:c>
      <x:c r="C27" s="120" t="n">
        <x:f>COUNTIFS('01_Laenderquellen'!A5:A1000,A27,'01_Laenderquellen'!G5:G1000,1)</x:f>
        <x:v>10</x:v>
      </x:c>
    </x:row>
    <x:row r="28">
      <x:c r="A28" s="88" t="str">
        <x:v>Schweiz</x:v>
      </x:c>
      <x:c r="B28" s="120" t="n">
        <x:f>COUNTIF('01_Laenderquellen'!A5:A1000,A28)</x:f>
        <x:v>11</x:v>
      </x:c>
      <x:c r="C28" s="120" t="n">
        <x:f>COUNTIFS('01_Laenderquellen'!A5:A1000,A28,'01_Laenderquellen'!G5:G1000,1)</x:f>
        <x:v>9</x:v>
      </x:c>
    </x:row>
    <x:row r="29">
      <x:c r="A29" s="88" t="str">
        <x:v>Türkei</x:v>
      </x:c>
      <x:c r="B29" s="120" t="n">
        <x:f>COUNTIF('01_Laenderquellen'!A5:A1000,A29)</x:f>
        <x:v>11</x:v>
      </x:c>
      <x:c r="C29" s="120" t="n">
        <x:f>COUNTIFS('01_Laenderquellen'!A5:A1000,A29,'01_Laenderquellen'!G5:G1000,1)</x:f>
        <x:v>10</x:v>
      </x:c>
    </x:row>
    <x:row r="30">
      <x:c r="A30" s="88" t="str">
        <x:v>Schottland</x:v>
      </x:c>
      <x:c r="B30" s="120" t="n">
        <x:f>COUNTIF('01_Laenderquellen'!A5:A1000,A30)</x:f>
        <x:v>10</x:v>
      </x:c>
      <x:c r="C30" s="120" t="n">
        <x:f>COUNTIFS('01_Laenderquellen'!A5:A1000,A30,'01_Laenderquellen'!G5:G1000,1)</x:f>
        <x:v>10</x:v>
      </x:c>
    </x:row>
    <x:row r="31">
      <x:c r="A31" s="88" t="str">
        <x:v>Dänemark</x:v>
      </x:c>
      <x:c r="B31" s="120" t="n">
        <x:f>COUNTIF('01_Laenderquellen'!A5:A1000,A31)</x:f>
        <x:v>11</x:v>
      </x:c>
      <x:c r="C31" s="120" t="n">
        <x:f>COUNTIFS('01_Laenderquellen'!A5:A1000,A31,'01_Laenderquellen'!G5:G1000,1)</x:f>
        <x:v>11</x:v>
      </x:c>
    </x:row>
    <x:row r="32">
      <x:c r="A32" s="88" t="str">
        <x:v>USA</x:v>
      </x:c>
      <x:c r="B32" s="120" t="n">
        <x:f>COUNTIF('01_Laenderquellen'!A5:A1000,A32)</x:f>
        <x:v>13</x:v>
      </x:c>
      <x:c r="C32" s="120" t="n">
        <x:f>COUNTIFS('01_Laenderquellen'!A5:A1000,A32,'01_Laenderquellen'!G5:G1000,1)</x:f>
        <x:v>12</x:v>
      </x:c>
    </x:row>
    <x:row r="33">
      <x:c r="A33" s="89" t="str">
        <x:v>China</x:v>
      </x:c>
      <x:c r="B33" s="121" t="n">
        <x:f>COUNTIF('01_Laenderquellen'!A5:A1000,A33)</x:f>
        <x:v>14</x:v>
      </x:c>
      <x:c r="C33" s="121" t="n">
        <x:f>COUNTIFS('01_Laenderquellen'!A5:A1000,A33,'01_Laenderquellen'!G5:G1000,1)</x:f>
        <x:v>12</x:v>
      </x:c>
    </x:row>
  </x:sheetData>
  <x:mergeCells>
    <x:mergeCell ref="A1:L1"/>
    <x:mergeCell ref="A2:L2"/>
    <x:mergeCell ref="A4:B4"/>
    <x:mergeCell ref="A5:B6"/>
    <x:mergeCell ref="D4:E4"/>
    <x:mergeCell ref="D5:E6"/>
    <x:mergeCell ref="G4:H4"/>
    <x:mergeCell ref="G5:H6"/>
    <x:mergeCell ref="J4:K4"/>
    <x:mergeCell ref="J5:K6"/>
    <x:mergeCell ref="A8:F8"/>
    <x:mergeCell ref="G8:L8"/>
    <x:mergeCell ref="E18:F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0" hidden="0" customWidth="1"/>
    <x:col min="4" max="4" width="14" hidden="0" customWidth="1"/>
    <x:col min="5" max="5" width="18" hidden="0" customWidth="1"/>
    <x:col min="6" max="6" width="16" hidden="0" customWidth="1"/>
    <x:col min="7" max="7" width="18" hidden="0" customWidth="1"/>
    <x:col min="8" max="8" width="14" hidden="0" customWidth="1"/>
    <x:col min="9" max="9" width="16" hidden="0" customWidth="1"/>
    <x:col min="10" max="10" width="12" hidden="0" customWidth="1"/>
    <x:col min="11" max="11" width="16" hidden="0" customWidth="1"/>
  </x:cols>
  <x:sheetData>
    <x:row r="1" ht="32" customHeight="1">
      <x:c r="A1" s="3" t="str">
        <x:v>TransferWire Source Score – Bewertungsmodell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10" t="str">
        <x:v>Bewerte jede konkrete Quelle/Reporter-Kombination. Der Score ist ein internes Redaktionswerkzeug und darf die journalistische Prüfung nicht ersetzen.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6" customHeight="1">
      <x:c r="A4" s="129" t="str">
        <x:v>Quelle/Reporter</x:v>
      </x:c>
      <x:c r="B4" s="129" t="str">
        <x:v>Land</x:v>
      </x:c>
      <x:c r="C4" s="129" t="str">
        <x:v>Tier</x:v>
      </x:c>
      <x:c r="D4" s="129" t="str">
        <x:v>Offiziell 0/1</x:v>
      </x:c>
      <x:c r="E4" s="129" t="str">
        <x:v>Named Reporter 0/1</x:v>
      </x:c>
      <x:c r="F4" s="129" t="str">
        <x:v>Track Record 0–5</x:v>
      </x:c>
      <x:c r="G4" s="129" t="str">
        <x:v>Bestätigungen 0–3</x:v>
      </x:c>
      <x:c r="H4" s="129" t="str">
        <x:v>Aktualität 0–3</x:v>
      </x:c>
      <x:c r="I4" s="129" t="str">
        <x:v>Fehlerabzug 0–5</x:v>
      </x:c>
      <x:c r="J4" s="129" t="str">
        <x:v>Score</x:v>
      </x:c>
      <x:c r="K4" s="129" t="str">
        <x:v>Einstufung</x:v>
      </x:c>
    </x:row>
    <x:row r="5">
      <x:c r="A5" s="132" t="str">
        <x:v>Offizielle Clubmeldung</x:v>
      </x:c>
      <x:c r="B5" s="132" t="str">
        <x:v>Beispiel</x:v>
      </x:c>
      <x:c r="C5" s="132" t="str">
        <x:v>A1</x:v>
      </x:c>
      <x:c r="D5" s="132" t="n">
        <x:v>1</x:v>
      </x:c>
      <x:c r="E5" s="132" t="n">
        <x:v>0</x:v>
      </x:c>
      <x:c r="F5" s="132" t="n">
        <x:v>5</x:v>
      </x:c>
      <x:c r="G5" s="132" t="n">
        <x:v>3</x:v>
      </x:c>
      <x:c r="H5" s="132" t="n">
        <x:v>3</x:v>
      </x:c>
      <x:c r="I5" s="132" t="n">
        <x:v>0</x:v>
      </x:c>
      <x:c r="J5" s="132" t="n">
        <x:f>MIN(100,MAX(0,IF(C5="A1",60,IF(C5="A2",50,IF(C5="B",35,IF(C5="C",20,10))))+D5*10+E5*5+F5*6+G5*5+H5*3-I5*7))</x:f>
        <x:v>100</x:v>
      </x:c>
      <x:c r="K5" s="132" t="str">
        <x:f>IF(J5&gt;=85,"Sehr hoch",IF(J5&gt;=70,"Hoch",IF(J5&gt;=50,"Mittel",IF(J5&gt;=30,"Niedrig","Nur Signal"))))</x:f>
        <x:v>Sehr hoch</x:v>
      </x:c>
    </x:row>
    <x:row r="6">
      <x:c r="A6" s="132" t="str">
        <x:v>Benannter Club-Beat-Reporter</x:v>
      </x:c>
      <x:c r="B6" s="132" t="str">
        <x:v>Beispiel</x:v>
      </x:c>
      <x:c r="C6" s="132" t="str">
        <x:v>A2</x:v>
      </x:c>
      <x:c r="D6" s="132" t="n">
        <x:v>0</x:v>
      </x:c>
      <x:c r="E6" s="132" t="n">
        <x:v>1</x:v>
      </x:c>
      <x:c r="F6" s="132" t="n">
        <x:v>5</x:v>
      </x:c>
      <x:c r="G6" s="132" t="n">
        <x:v>2</x:v>
      </x:c>
      <x:c r="H6" s="132" t="n">
        <x:v>3</x:v>
      </x:c>
      <x:c r="I6" s="132" t="n">
        <x:v>0</x:v>
      </x:c>
      <x:c r="J6" s="132" t="n">
        <x:f>MIN(100,MAX(0,IF(C6="A1",60,IF(C6="A2",50,IF(C6="B",35,IF(C6="C",20,10))))+D6*10+E6*5+F6*6+G6*5+H6*3-I6*7))</x:f>
        <x:v>100</x:v>
      </x:c>
      <x:c r="K6" s="132" t="str">
        <x:f>IF(J6&gt;=85,"Sehr hoch",IF(J6&gt;=70,"Hoch",IF(J6&gt;=50,"Mittel",IF(J6&gt;=30,"Niedrig","Nur Signal"))))</x:f>
        <x:v>Sehr hoch</x:v>
      </x:c>
    </x:row>
    <x:row r="7">
      <x:c r="A7" s="132" t="str">
        <x:v>Transfer-Spezialmedium</x:v>
      </x:c>
      <x:c r="B7" s="132" t="str">
        <x:v>Beispiel</x:v>
      </x:c>
      <x:c r="C7" s="132" t="str">
        <x:v>B</x:v>
      </x:c>
      <x:c r="D7" s="132" t="n">
        <x:v>0</x:v>
      </x:c>
      <x:c r="E7" s="132" t="n">
        <x:v>1</x:v>
      </x:c>
      <x:c r="F7" s="132" t="n">
        <x:v>4</x:v>
      </x:c>
      <x:c r="G7" s="132" t="n">
        <x:v>2</x:v>
      </x:c>
      <x:c r="H7" s="132" t="n">
        <x:v>3</x:v>
      </x:c>
      <x:c r="I7" s="132" t="n">
        <x:v>1</x:v>
      </x:c>
      <x:c r="J7" s="132" t="n">
        <x:f>MIN(100,MAX(0,IF(C7="A1",60,IF(C7="A2",50,IF(C7="B",35,IF(C7="C",20,10))))+D7*10+E7*5+F7*6+G7*5+H7*3-I7*7))</x:f>
        <x:v>76</x:v>
      </x:c>
      <x:c r="K7" s="132" t="str">
        <x:f>IF(J7&gt;=85,"Sehr hoch",IF(J7&gt;=70,"Hoch",IF(J7&gt;=50,"Mittel",IF(J7&gt;=30,"Niedrig","Nur Signal"))))</x:f>
        <x:v>Hoch</x:v>
      </x:c>
    </x:row>
    <x:row r="8">
      <x:c r="A8" s="132" t="str">
        <x:v>Anonymer Social-Account</x:v>
      </x:c>
      <x:c r="B8" s="132" t="str">
        <x:v>Beispiel</x:v>
      </x:c>
      <x:c r="C8" s="132" t="str">
        <x:v>D</x:v>
      </x:c>
      <x:c r="D8" s="132" t="n">
        <x:v>0</x:v>
      </x:c>
      <x:c r="E8" s="132" t="n">
        <x:v>0</x:v>
      </x:c>
      <x:c r="F8" s="132" t="n">
        <x:v>1</x:v>
      </x:c>
      <x:c r="G8" s="132" t="n">
        <x:v>0</x:v>
      </x:c>
      <x:c r="H8" s="132" t="n">
        <x:v>3</x:v>
      </x:c>
      <x:c r="I8" s="132" t="n">
        <x:v>2</x:v>
      </x:c>
      <x:c r="J8" s="132" t="n">
        <x:f>MIN(100,MAX(0,IF(C8="A1",60,IF(C8="A2",50,IF(C8="B",35,IF(C8="C",20,10))))+D8*10+E8*5+F8*6+G8*5+H8*3-I8*7))</x:f>
        <x:v>11</x:v>
      </x:c>
      <x:c r="K8" s="132" t="str">
        <x:f>IF(J8&gt;=85,"Sehr hoch",IF(J8&gt;=70,"Hoch",IF(J8&gt;=50,"Mittel",IF(J8&gt;=30,"Niedrig","Nur Signal"))))</x:f>
        <x:v>Nur Signal</x:v>
      </x:c>
    </x:row>
    <x:row r="9">
      <x:c r="A9" s="132" t="str"/>
      <x:c r="B9" s="132" t="str"/>
      <x:c r="C9" s="132" t="str">
        <x:v>B</x:v>
      </x:c>
      <x:c r="D9" s="132" t="n">
        <x:v>0</x:v>
      </x:c>
      <x:c r="E9" s="132" t="n">
        <x:v>0</x:v>
      </x:c>
      <x:c r="F9" s="132" t="n">
        <x:v>3</x:v>
      </x:c>
      <x:c r="G9" s="132" t="n">
        <x:v>1</x:v>
      </x:c>
      <x:c r="H9" s="132" t="n">
        <x:v>2</x:v>
      </x:c>
      <x:c r="I9" s="132" t="n">
        <x:v>0</x:v>
      </x:c>
      <x:c r="J9" s="132" t="n">
        <x:f>MIN(100,MAX(0,IF(C9="A1",60,IF(C9="A2",50,IF(C9="B",35,IF(C9="C",20,10))))+D9*10+E9*5+F9*6+G9*5+H9*3-I9*7))</x:f>
        <x:v>64</x:v>
      </x:c>
      <x:c r="K9" s="132" t="str">
        <x:f>IF(J9&gt;=85,"Sehr hoch",IF(J9&gt;=70,"Hoch",IF(J9&gt;=50,"Mittel",IF(J9&gt;=30,"Niedrig","Nur Signal"))))</x:f>
        <x:v>Mittel</x:v>
      </x:c>
    </x:row>
    <x:row r="10">
      <x:c r="A10" s="132" t="str"/>
      <x:c r="B10" s="132" t="str"/>
      <x:c r="C10" s="132" t="str">
        <x:v>B</x:v>
      </x:c>
      <x:c r="D10" s="132" t="n">
        <x:v>0</x:v>
      </x:c>
      <x:c r="E10" s="132" t="n">
        <x:v>0</x:v>
      </x:c>
      <x:c r="F10" s="132" t="n">
        <x:v>3</x:v>
      </x:c>
      <x:c r="G10" s="132" t="n">
        <x:v>1</x:v>
      </x:c>
      <x:c r="H10" s="132" t="n">
        <x:v>2</x:v>
      </x:c>
      <x:c r="I10" s="132" t="n">
        <x:v>0</x:v>
      </x:c>
      <x:c r="J10" s="132" t="n">
        <x:f>MIN(100,MAX(0,IF(C10="A1",60,IF(C10="A2",50,IF(C10="B",35,IF(C10="C",20,10))))+D10*10+E10*5+F10*6+G10*5+H10*3-I10*7))</x:f>
        <x:v>64</x:v>
      </x:c>
      <x:c r="K10" s="132" t="str">
        <x:f>IF(J10&gt;=85,"Sehr hoch",IF(J10&gt;=70,"Hoch",IF(J10&gt;=50,"Mittel",IF(J10&gt;=30,"Niedrig","Nur Signal"))))</x:f>
        <x:v>Mittel</x:v>
      </x:c>
    </x:row>
    <x:row r="11">
      <x:c r="A11" s="132" t="str"/>
      <x:c r="B11" s="132" t="str"/>
      <x:c r="C11" s="132" t="str">
        <x:v>B</x:v>
      </x:c>
      <x:c r="D11" s="132" t="n">
        <x:v>0</x:v>
      </x:c>
      <x:c r="E11" s="132" t="n">
        <x:v>0</x:v>
      </x:c>
      <x:c r="F11" s="132" t="n">
        <x:v>3</x:v>
      </x:c>
      <x:c r="G11" s="132" t="n">
        <x:v>1</x:v>
      </x:c>
      <x:c r="H11" s="132" t="n">
        <x:v>2</x:v>
      </x:c>
      <x:c r="I11" s="132" t="n">
        <x:v>0</x:v>
      </x:c>
      <x:c r="J11" s="132" t="n">
        <x:f>MIN(100,MAX(0,IF(C11="A1",60,IF(C11="A2",50,IF(C11="B",35,IF(C11="C",20,10))))+D11*10+E11*5+F11*6+G11*5+H11*3-I11*7))</x:f>
        <x:v>64</x:v>
      </x:c>
      <x:c r="K11" s="132" t="str">
        <x:f>IF(J11&gt;=85,"Sehr hoch",IF(J11&gt;=70,"Hoch",IF(J11&gt;=50,"Mittel",IF(J11&gt;=30,"Niedrig","Nur Signal"))))</x:f>
        <x:v>Mittel</x:v>
      </x:c>
    </x:row>
    <x:row r="12">
      <x:c r="A12" s="132" t="str"/>
      <x:c r="B12" s="132" t="str"/>
      <x:c r="C12" s="132" t="str">
        <x:v>B</x:v>
      </x:c>
      <x:c r="D12" s="132" t="n">
        <x:v>0</x:v>
      </x:c>
      <x:c r="E12" s="132" t="n">
        <x:v>0</x:v>
      </x:c>
      <x:c r="F12" s="132" t="n">
        <x:v>3</x:v>
      </x:c>
      <x:c r="G12" s="132" t="n">
        <x:v>1</x:v>
      </x:c>
      <x:c r="H12" s="132" t="n">
        <x:v>2</x:v>
      </x:c>
      <x:c r="I12" s="132" t="n">
        <x:v>0</x:v>
      </x:c>
      <x:c r="J12" s="132" t="n">
        <x:f>MIN(100,MAX(0,IF(C12="A1",60,IF(C12="A2",50,IF(C12="B",35,IF(C12="C",20,10))))+D12*10+E12*5+F12*6+G12*5+H12*3-I12*7))</x:f>
        <x:v>64</x:v>
      </x:c>
      <x:c r="K12" s="132" t="str">
        <x:f>IF(J12&gt;=85,"Sehr hoch",IF(J12&gt;=70,"Hoch",IF(J12&gt;=50,"Mittel",IF(J12&gt;=30,"Niedrig","Nur Signal"))))</x:f>
        <x:v>Mittel</x:v>
      </x:c>
    </x:row>
    <x:row r="13">
      <x:c r="A13" s="132" t="str"/>
      <x:c r="B13" s="132" t="str"/>
      <x:c r="C13" s="132" t="str">
        <x:v>B</x:v>
      </x:c>
      <x:c r="D13" s="132" t="n">
        <x:v>0</x:v>
      </x:c>
      <x:c r="E13" s="132" t="n">
        <x:v>0</x:v>
      </x:c>
      <x:c r="F13" s="132" t="n">
        <x:v>3</x:v>
      </x:c>
      <x:c r="G13" s="132" t="n">
        <x:v>1</x:v>
      </x:c>
      <x:c r="H13" s="132" t="n">
        <x:v>2</x:v>
      </x:c>
      <x:c r="I13" s="132" t="n">
        <x:v>0</x:v>
      </x:c>
      <x:c r="J13" s="132" t="n">
        <x:f>MIN(100,MAX(0,IF(C13="A1",60,IF(C13="A2",50,IF(C13="B",35,IF(C13="C",20,10))))+D13*10+E13*5+F13*6+G13*5+H13*3-I13*7))</x:f>
        <x:v>64</x:v>
      </x:c>
      <x:c r="K13" s="132" t="str">
        <x:f>IF(J13&gt;=85,"Sehr hoch",IF(J13&gt;=70,"Hoch",IF(J13&gt;=50,"Mittel",IF(J13&gt;=30,"Niedrig","Nur Signal"))))</x:f>
        <x:v>Mittel</x:v>
      </x:c>
    </x:row>
    <x:row r="14">
      <x:c r="A14" s="132" t="str"/>
      <x:c r="B14" s="132" t="str"/>
      <x:c r="C14" s="132" t="str">
        <x:v>B</x:v>
      </x:c>
      <x:c r="D14" s="132" t="n">
        <x:v>0</x:v>
      </x:c>
      <x:c r="E14" s="132" t="n">
        <x:v>0</x:v>
      </x:c>
      <x:c r="F14" s="132" t="n">
        <x:v>3</x:v>
      </x:c>
      <x:c r="G14" s="132" t="n">
        <x:v>1</x:v>
      </x:c>
      <x:c r="H14" s="132" t="n">
        <x:v>2</x:v>
      </x:c>
      <x:c r="I14" s="132" t="n">
        <x:v>0</x:v>
      </x:c>
      <x:c r="J14" s="132" t="n">
        <x:f>MIN(100,MAX(0,IF(C14="A1",60,IF(C14="A2",50,IF(C14="B",35,IF(C14="C",20,10))))+D14*10+E14*5+F14*6+G14*5+H14*3-I14*7))</x:f>
        <x:v>64</x:v>
      </x:c>
      <x:c r="K14" s="132" t="str">
        <x:f>IF(J14&gt;=85,"Sehr hoch",IF(J14&gt;=70,"Hoch",IF(J14&gt;=50,"Mittel",IF(J14&gt;=30,"Niedrig","Nur Signal"))))</x:f>
        <x:v>Mittel</x:v>
      </x:c>
    </x:row>
    <x:row r="15">
      <x:c r="A15" s="132" t="str"/>
      <x:c r="B15" s="132" t="str"/>
      <x:c r="C15" s="132" t="str">
        <x:v>B</x:v>
      </x:c>
      <x:c r="D15" s="132" t="n">
        <x:v>0</x:v>
      </x:c>
      <x:c r="E15" s="132" t="n">
        <x:v>0</x:v>
      </x:c>
      <x:c r="F15" s="132" t="n">
        <x:v>3</x:v>
      </x:c>
      <x:c r="G15" s="132" t="n">
        <x:v>1</x:v>
      </x:c>
      <x:c r="H15" s="132" t="n">
        <x:v>2</x:v>
      </x:c>
      <x:c r="I15" s="132" t="n">
        <x:v>0</x:v>
      </x:c>
      <x:c r="J15" s="132" t="n">
        <x:f>MIN(100,MAX(0,IF(C15="A1",60,IF(C15="A2",50,IF(C15="B",35,IF(C15="C",20,10))))+D15*10+E15*5+F15*6+G15*5+H15*3-I15*7))</x:f>
        <x:v>64</x:v>
      </x:c>
      <x:c r="K15" s="132" t="str">
        <x:f>IF(J15&gt;=85,"Sehr hoch",IF(J15&gt;=70,"Hoch",IF(J15&gt;=50,"Mittel",IF(J15&gt;=30,"Niedrig","Nur Signal"))))</x:f>
        <x:v>Mittel</x:v>
      </x:c>
    </x:row>
    <x:row r="16">
      <x:c r="A16" s="132" t="str"/>
      <x:c r="B16" s="132" t="str"/>
      <x:c r="C16" s="132" t="str">
        <x:v>B</x:v>
      </x:c>
      <x:c r="D16" s="132" t="n">
        <x:v>0</x:v>
      </x:c>
      <x:c r="E16" s="132" t="n">
        <x:v>0</x:v>
      </x:c>
      <x:c r="F16" s="132" t="n">
        <x:v>3</x:v>
      </x:c>
      <x:c r="G16" s="132" t="n">
        <x:v>1</x:v>
      </x:c>
      <x:c r="H16" s="132" t="n">
        <x:v>2</x:v>
      </x:c>
      <x:c r="I16" s="132" t="n">
        <x:v>0</x:v>
      </x:c>
      <x:c r="J16" s="132" t="n">
        <x:f>MIN(100,MAX(0,IF(C16="A1",60,IF(C16="A2",50,IF(C16="B",35,IF(C16="C",20,10))))+D16*10+E16*5+F16*6+G16*5+H16*3-I16*7))</x:f>
        <x:v>64</x:v>
      </x:c>
      <x:c r="K16" s="132" t="str">
        <x:f>IF(J16&gt;=85,"Sehr hoch",IF(J16&gt;=70,"Hoch",IF(J16&gt;=50,"Mittel",IF(J16&gt;=30,"Niedrig","Nur Signal"))))</x:f>
        <x:v>Mittel</x:v>
      </x:c>
    </x:row>
    <x:row r="17">
      <x:c r="A17" s="132" t="str"/>
      <x:c r="B17" s="132" t="str"/>
      <x:c r="C17" s="132" t="str">
        <x:v>B</x:v>
      </x:c>
      <x:c r="D17" s="132" t="n">
        <x:v>0</x:v>
      </x:c>
      <x:c r="E17" s="132" t="n">
        <x:v>0</x:v>
      </x:c>
      <x:c r="F17" s="132" t="n">
        <x:v>3</x:v>
      </x:c>
      <x:c r="G17" s="132" t="n">
        <x:v>1</x:v>
      </x:c>
      <x:c r="H17" s="132" t="n">
        <x:v>2</x:v>
      </x:c>
      <x:c r="I17" s="132" t="n">
        <x:v>0</x:v>
      </x:c>
      <x:c r="J17" s="132" t="n">
        <x:f>MIN(100,MAX(0,IF(C17="A1",60,IF(C17="A2",50,IF(C17="B",35,IF(C17="C",20,10))))+D17*10+E17*5+F17*6+G17*5+H17*3-I17*7))</x:f>
        <x:v>64</x:v>
      </x:c>
      <x:c r="K17" s="132" t="str">
        <x:f>IF(J17&gt;=85,"Sehr hoch",IF(J17&gt;=70,"Hoch",IF(J17&gt;=50,"Mittel",IF(J17&gt;=30,"Niedrig","Nur Signal"))))</x:f>
        <x:v>Mittel</x:v>
      </x:c>
    </x:row>
    <x:row r="18">
      <x:c r="A18" s="132" t="str"/>
      <x:c r="B18" s="132" t="str"/>
      <x:c r="C18" s="132" t="str">
        <x:v>B</x:v>
      </x:c>
      <x:c r="D18" s="132" t="n">
        <x:v>0</x:v>
      </x:c>
      <x:c r="E18" s="132" t="n">
        <x:v>0</x:v>
      </x:c>
      <x:c r="F18" s="132" t="n">
        <x:v>3</x:v>
      </x:c>
      <x:c r="G18" s="132" t="n">
        <x:v>1</x:v>
      </x:c>
      <x:c r="H18" s="132" t="n">
        <x:v>2</x:v>
      </x:c>
      <x:c r="I18" s="132" t="n">
        <x:v>0</x:v>
      </x:c>
      <x:c r="J18" s="132" t="n">
        <x:f>MIN(100,MAX(0,IF(C18="A1",60,IF(C18="A2",50,IF(C18="B",35,IF(C18="C",20,10))))+D18*10+E18*5+F18*6+G18*5+H18*3-I18*7))</x:f>
        <x:v>64</x:v>
      </x:c>
      <x:c r="K18" s="132" t="str">
        <x:f>IF(J18&gt;=85,"Sehr hoch",IF(J18&gt;=70,"Hoch",IF(J18&gt;=50,"Mittel",IF(J18&gt;=30,"Niedrig","Nur Signal"))))</x:f>
        <x:v>Mittel</x:v>
      </x:c>
    </x:row>
    <x:row r="19">
      <x:c r="A19" s="132" t="str"/>
      <x:c r="B19" s="132" t="str"/>
      <x:c r="C19" s="132" t="str">
        <x:v>B</x:v>
      </x:c>
      <x:c r="D19" s="132" t="n">
        <x:v>0</x:v>
      </x:c>
      <x:c r="E19" s="132" t="n">
        <x:v>0</x:v>
      </x:c>
      <x:c r="F19" s="132" t="n">
        <x:v>3</x:v>
      </x:c>
      <x:c r="G19" s="132" t="n">
        <x:v>1</x:v>
      </x:c>
      <x:c r="H19" s="132" t="n">
        <x:v>2</x:v>
      </x:c>
      <x:c r="I19" s="132" t="n">
        <x:v>0</x:v>
      </x:c>
      <x:c r="J19" s="132" t="n">
        <x:f>MIN(100,MAX(0,IF(C19="A1",60,IF(C19="A2",50,IF(C19="B",35,IF(C19="C",20,10))))+D19*10+E19*5+F19*6+G19*5+H19*3-I19*7))</x:f>
        <x:v>64</x:v>
      </x:c>
      <x:c r="K19" s="132" t="str">
        <x:f>IF(J19&gt;=85,"Sehr hoch",IF(J19&gt;=70,"Hoch",IF(J19&gt;=50,"Mittel",IF(J19&gt;=30,"Niedrig","Nur Signal"))))</x:f>
        <x:v>Mittel</x:v>
      </x:c>
    </x:row>
    <x:row r="20">
      <x:c r="A20" s="132" t="str"/>
      <x:c r="B20" s="132" t="str"/>
      <x:c r="C20" s="132" t="str">
        <x:v>B</x:v>
      </x:c>
      <x:c r="D20" s="132" t="n">
        <x:v>0</x:v>
      </x:c>
      <x:c r="E20" s="132" t="n">
        <x:v>0</x:v>
      </x:c>
      <x:c r="F20" s="132" t="n">
        <x:v>3</x:v>
      </x:c>
      <x:c r="G20" s="132" t="n">
        <x:v>1</x:v>
      </x:c>
      <x:c r="H20" s="132" t="n">
        <x:v>2</x:v>
      </x:c>
      <x:c r="I20" s="132" t="n">
        <x:v>0</x:v>
      </x:c>
      <x:c r="J20" s="132" t="n">
        <x:f>MIN(100,MAX(0,IF(C20="A1",60,IF(C20="A2",50,IF(C20="B",35,IF(C20="C",20,10))))+D20*10+E20*5+F20*6+G20*5+H20*3-I20*7))</x:f>
        <x:v>64</x:v>
      </x:c>
      <x:c r="K20" s="132" t="str">
        <x:f>IF(J20&gt;=85,"Sehr hoch",IF(J20&gt;=70,"Hoch",IF(J20&gt;=50,"Mittel",IF(J20&gt;=30,"Niedrig","Nur Signal"))))</x:f>
        <x:v>Mittel</x:v>
      </x:c>
    </x:row>
    <x:row r="21">
      <x:c r="A21" s="132" t="str"/>
      <x:c r="B21" s="132" t="str"/>
      <x:c r="C21" s="132" t="str">
        <x:v>B</x:v>
      </x:c>
      <x:c r="D21" s="132" t="n">
        <x:v>0</x:v>
      </x:c>
      <x:c r="E21" s="132" t="n">
        <x:v>0</x:v>
      </x:c>
      <x:c r="F21" s="132" t="n">
        <x:v>3</x:v>
      </x:c>
      <x:c r="G21" s="132" t="n">
        <x:v>1</x:v>
      </x:c>
      <x:c r="H21" s="132" t="n">
        <x:v>2</x:v>
      </x:c>
      <x:c r="I21" s="132" t="n">
        <x:v>0</x:v>
      </x:c>
      <x:c r="J21" s="132" t="n">
        <x:f>MIN(100,MAX(0,IF(C21="A1",60,IF(C21="A2",50,IF(C21="B",35,IF(C21="C",20,10))))+D21*10+E21*5+F21*6+G21*5+H21*3-I21*7))</x:f>
        <x:v>64</x:v>
      </x:c>
      <x:c r="K21" s="132" t="str">
        <x:f>IF(J21&gt;=85,"Sehr hoch",IF(J21&gt;=70,"Hoch",IF(J21&gt;=50,"Mittel",IF(J21&gt;=30,"Niedrig","Nur Signal"))))</x:f>
        <x:v>Mittel</x:v>
      </x:c>
    </x:row>
    <x:row r="22">
      <x:c r="A22" s="132" t="str"/>
      <x:c r="B22" s="132" t="str"/>
      <x:c r="C22" s="132" t="str">
        <x:v>B</x:v>
      </x:c>
      <x:c r="D22" s="132" t="n">
        <x:v>0</x:v>
      </x:c>
      <x:c r="E22" s="132" t="n">
        <x:v>0</x:v>
      </x:c>
      <x:c r="F22" s="132" t="n">
        <x:v>3</x:v>
      </x:c>
      <x:c r="G22" s="132" t="n">
        <x:v>1</x:v>
      </x:c>
      <x:c r="H22" s="132" t="n">
        <x:v>2</x:v>
      </x:c>
      <x:c r="I22" s="132" t="n">
        <x:v>0</x:v>
      </x:c>
      <x:c r="J22" s="132" t="n">
        <x:f>MIN(100,MAX(0,IF(C22="A1",60,IF(C22="A2",50,IF(C22="B",35,IF(C22="C",20,10))))+D22*10+E22*5+F22*6+G22*5+H22*3-I22*7))</x:f>
        <x:v>64</x:v>
      </x:c>
      <x:c r="K22" s="132" t="str">
        <x:f>IF(J22&gt;=85,"Sehr hoch",IF(J22&gt;=70,"Hoch",IF(J22&gt;=50,"Mittel",IF(J22&gt;=30,"Niedrig","Nur Signal"))))</x:f>
        <x:v>Mittel</x:v>
      </x:c>
    </x:row>
    <x:row r="23">
      <x:c r="A23" s="132" t="str"/>
      <x:c r="B23" s="132" t="str"/>
      <x:c r="C23" s="132" t="str">
        <x:v>B</x:v>
      </x:c>
      <x:c r="D23" s="132" t="n">
        <x:v>0</x:v>
      </x:c>
      <x:c r="E23" s="132" t="n">
        <x:v>0</x:v>
      </x:c>
      <x:c r="F23" s="132" t="n">
        <x:v>3</x:v>
      </x:c>
      <x:c r="G23" s="132" t="n">
        <x:v>1</x:v>
      </x:c>
      <x:c r="H23" s="132" t="n">
        <x:v>2</x:v>
      </x:c>
      <x:c r="I23" s="132" t="n">
        <x:v>0</x:v>
      </x:c>
      <x:c r="J23" s="132" t="n">
        <x:f>MIN(100,MAX(0,IF(C23="A1",60,IF(C23="A2",50,IF(C23="B",35,IF(C23="C",20,10))))+D23*10+E23*5+F23*6+G23*5+H23*3-I23*7))</x:f>
        <x:v>64</x:v>
      </x:c>
      <x:c r="K23" s="132" t="str">
        <x:f>IF(J23&gt;=85,"Sehr hoch",IF(J23&gt;=70,"Hoch",IF(J23&gt;=50,"Mittel",IF(J23&gt;=30,"Niedrig","Nur Signal"))))</x:f>
        <x:v>Mittel</x:v>
      </x:c>
    </x:row>
    <x:row r="24">
      <x:c r="A24" s="133" t="str"/>
      <x:c r="B24" s="133" t="str"/>
      <x:c r="C24" s="133" t="str">
        <x:v>B</x:v>
      </x:c>
      <x:c r="D24" s="133" t="n">
        <x:v>0</x:v>
      </x:c>
      <x:c r="E24" s="133" t="n">
        <x:v>0</x:v>
      </x:c>
      <x:c r="F24" s="133" t="n">
        <x:v>3</x:v>
      </x:c>
      <x:c r="G24" s="133" t="n">
        <x:v>1</x:v>
      </x:c>
      <x:c r="H24" s="133" t="n">
        <x:v>2</x:v>
      </x:c>
      <x:c r="I24" s="133" t="n">
        <x:v>0</x:v>
      </x:c>
      <x:c r="J24" s="133" t="n">
        <x:f>MIN(100,MAX(0,IF(C24="A1",60,IF(C24="A2",50,IF(C24="B",35,IF(C24="C",20,10))))+D24*10+E24*5+F24*6+G24*5+H24*3-I24*7))</x:f>
        <x:v>64</x:v>
      </x:c>
      <x:c r="K24" s="133" t="str">
        <x:f>IF(J24&gt;=85,"Sehr hoch",IF(J24&gt;=70,"Hoch",IF(J24&gt;=50,"Mittel",IF(J24&gt;=30,"Niedrig","Nur Signal"))))</x:f>
        <x:v>Mittel</x:v>
      </x:c>
    </x:row>
  </x:sheetData>
  <x:mergeCells>
    <x:mergeCell ref="A1:K1"/>
    <x:mergeCell ref="A2:K2"/>
  </x:mergeCells>
  <x:conditionalFormatting sqref="J5:J2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5">
    <x:dataValidation type="list" sqref="C5:C24">
      <x:formula1>"A1,A2,B,C,D"</x:formula1>
    </x:dataValidation>
    <x:dataValidation type="list" sqref="D5:E24">
      <x:formula1>"0,1"</x:formula1>
    </x:dataValidation>
    <x:dataValidation operator="between" sqref="F5:F24">
      <x:formula1>0</x:formula1>
      <x:formula2>5</x:formula2>
    </x:dataValidation>
    <x:dataValidation operator="between" sqref="G5:H24">
      <x:formula1>0</x:formula1>
      <x:formula2>3</x:formula2>
    </x:dataValidation>
    <x:dataValidation operator="between" sqref="I5:I24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7029faae5584266"/>
  </x:tableParts>
</x:worksheet>
</file>